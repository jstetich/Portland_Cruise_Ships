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bohl\Dropbox\Work\Portland Cruise Ships\Derived_Data\"/>
    </mc:Choice>
  </mc:AlternateContent>
  <xr:revisionPtr revIDLastSave="0" documentId="13_ncr:1_{FDE618BE-77AE-4727-868E-8F85AA5602A1}" xr6:coauthVersionLast="45" xr6:coauthVersionMax="45" xr10:uidLastSave="{00000000-0000-0000-0000-000000000000}"/>
  <bookViews>
    <workbookView xWindow="-110" yWindow="-110" windowWidth="22780" windowHeight="15260" activeTab="2" xr2:uid="{00000000-000D-0000-FFFF-FFFF00000000}"/>
  </bookViews>
  <sheets>
    <sheet name="2020 Planned" sheetId="1" r:id="rId1"/>
    <sheet name="2019" sheetId="2" r:id="rId2"/>
    <sheet name="2018" sheetId="3" r:id="rId3"/>
    <sheet name="2017" sheetId="4" r:id="rId4"/>
    <sheet name="2016" sheetId="6" r:id="rId5"/>
    <sheet name="2015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4" i="3" l="1"/>
  <c r="S114" i="3"/>
  <c r="R114" i="3"/>
  <c r="S110" i="2"/>
  <c r="R110" i="2"/>
  <c r="A110" i="2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3" i="6"/>
  <c r="H84" i="4"/>
  <c r="H85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6" i="4"/>
  <c r="H87" i="4"/>
  <c r="H88" i="4"/>
  <c r="H89" i="4"/>
  <c r="H90" i="4"/>
  <c r="H91" i="4"/>
  <c r="H92" i="4"/>
  <c r="H93" i="4"/>
  <c r="H94" i="4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3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3" i="3"/>
</calcChain>
</file>

<file path=xl/sharedStrings.xml><?xml version="1.0" encoding="utf-8"?>
<sst xmlns="http://schemas.openxmlformats.org/spreadsheetml/2006/main" count="4443" uniqueCount="492">
  <si>
    <t>08 May - 06:00</t>
  </si>
  <si>
    <t>dep 15:00</t>
  </si>
  <si>
    <t>PEARL MIST</t>
  </si>
  <si>
    <t>334' | 210 guests</t>
  </si>
  <si>
    <t>OGT P2B1</t>
  </si>
  <si>
    <t xml:space="preserve">last port | </t>
  </si>
  <si>
    <t>—</t>
  </si>
  <si>
    <t>15 May - 06:00</t>
  </si>
  <si>
    <t>22 May - 17:00</t>
  </si>
  <si>
    <t>dep 23 May 13:30</t>
  </si>
  <si>
    <t>INDEPENDENCE</t>
  </si>
  <si>
    <t>215' | 100 guests</t>
  </si>
  <si>
    <t>28 May - 17:00</t>
  </si>
  <si>
    <t>dep 29 May 13:30</t>
  </si>
  <si>
    <t>04 Jun - 17:00</t>
  </si>
  <si>
    <t>dep 05 Jun 13:30</t>
  </si>
  <si>
    <t>11 Jun - 17:00</t>
  </si>
  <si>
    <t>dep 12 Jun 13:30</t>
  </si>
  <si>
    <t>14 Jun - 22:30</t>
  </si>
  <si>
    <t>dep 15 Jun 19:00</t>
  </si>
  <si>
    <t>AMERICAN CONSTITUTION</t>
  </si>
  <si>
    <t>267' | 170 guests</t>
  </si>
  <si>
    <t>18 Jun - 17:00</t>
  </si>
  <si>
    <t>dep 19 Jun 13:30</t>
  </si>
  <si>
    <t>24 Jun - 22:30</t>
  </si>
  <si>
    <t>dep 25 Jun 19:00</t>
  </si>
  <si>
    <t>25 Jun - 17:00</t>
  </si>
  <si>
    <t>dep 26 Jun 13:30</t>
  </si>
  <si>
    <t>02 Jul - 17:00</t>
  </si>
  <si>
    <t>dep 03 Jul 13:30</t>
  </si>
  <si>
    <t>04 Jul - 07:30</t>
  </si>
  <si>
    <t>ZAANDAM</t>
  </si>
  <si>
    <t>777' | 1432 guests</t>
  </si>
  <si>
    <t>POT</t>
  </si>
  <si>
    <t>04 Jul - 22:30</t>
  </si>
  <si>
    <t>dep 05 Jul 19:00</t>
  </si>
  <si>
    <t>09 Jul - 17:00</t>
  </si>
  <si>
    <t>dep 10 Jul 13:30</t>
  </si>
  <si>
    <t>14 Jul - 22:30</t>
  </si>
  <si>
    <t>dep 15 Jul 19:00</t>
  </si>
  <si>
    <t>16 Jul - 17:00</t>
  </si>
  <si>
    <t>dep 17 Jul 13:30</t>
  </si>
  <si>
    <t>22 Jul - 08:30</t>
  </si>
  <si>
    <t>dep 23 Jul 00:00</t>
  </si>
  <si>
    <t>GRANDE CARIBE</t>
  </si>
  <si>
    <t>184' | 96 guests</t>
  </si>
  <si>
    <t>23 Jul - 17:00</t>
  </si>
  <si>
    <t>dep 24 Jul 13:30</t>
  </si>
  <si>
    <t>24 Jul - 22:30</t>
  </si>
  <si>
    <t>dep 25 Jul 19:00</t>
  </si>
  <si>
    <t>30 Jul - 17:00</t>
  </si>
  <si>
    <t>dep 31 Jul 13:30</t>
  </si>
  <si>
    <t>31 Jul - 07:30</t>
  </si>
  <si>
    <t>dep 17:00</t>
  </si>
  <si>
    <t>CARIBBEAN PRINCESS</t>
  </si>
  <si>
    <t>949' | 3110 guests</t>
  </si>
  <si>
    <t>02 Aug - 08:30</t>
  </si>
  <si>
    <t>dep 03 Aug 00:00</t>
  </si>
  <si>
    <t>03 Aug - 22:30</t>
  </si>
  <si>
    <t>dep 04 Aug 19:00</t>
  </si>
  <si>
    <t>06 Aug - 17:00</t>
  </si>
  <si>
    <t>dep 07 Aug 13:30</t>
  </si>
  <si>
    <t>13 Aug - 17:00</t>
  </si>
  <si>
    <t>dep 14 Aug 13:30</t>
  </si>
  <si>
    <t>13 Aug - 22:30</t>
  </si>
  <si>
    <t>dep 14 Aug 19:00</t>
  </si>
  <si>
    <t>20 Aug - 17:00</t>
  </si>
  <si>
    <t>dep 21 Aug 13:30</t>
  </si>
  <si>
    <t>21 Aug - 07:00</t>
  </si>
  <si>
    <t>dep 18:00</t>
  </si>
  <si>
    <t>EMPRESS OF THE SEAS</t>
  </si>
  <si>
    <t>691' | 1600 guests</t>
  </si>
  <si>
    <t>OGT P2B2</t>
  </si>
  <si>
    <t>22 Aug - 08:30</t>
  </si>
  <si>
    <t>dep 16:00</t>
  </si>
  <si>
    <t>23 Aug - 22:30</t>
  </si>
  <si>
    <t>dep 24 Aug 19:00</t>
  </si>
  <si>
    <t>27 Aug - 17:00</t>
  </si>
  <si>
    <t>dep 28 Aug 13:30</t>
  </si>
  <si>
    <t>29 Aug - 08:00</t>
  </si>
  <si>
    <t>ENCHANTMENT OF THE SEAS</t>
  </si>
  <si>
    <t>988' | 2252 guests</t>
  </si>
  <si>
    <t>30 Aug - 08:00</t>
  </si>
  <si>
    <t>CELEBRITY SUMMIT</t>
  </si>
  <si>
    <t>964' | 2038 guests</t>
  </si>
  <si>
    <t>31 Aug - 08:00</t>
  </si>
  <si>
    <t>NORWEGIAN BREAKAWAY</t>
  </si>
  <si>
    <t>1,068' | 3963 guests</t>
  </si>
  <si>
    <t>01 Sep - 11:30</t>
  </si>
  <si>
    <t>dep 20:00</t>
  </si>
  <si>
    <t>NORWEGIAN GEM</t>
  </si>
  <si>
    <t>964' | 2394 guests</t>
  </si>
  <si>
    <t>02 Sep - 22:30</t>
  </si>
  <si>
    <t>dep 03 Sep 17:30</t>
  </si>
  <si>
    <t>03 Sep - 17:30</t>
  </si>
  <si>
    <t>dep 04 Sep 13:30</t>
  </si>
  <si>
    <t>05 Sep - 08:00</t>
  </si>
  <si>
    <t>FREEDOM OF THE SEAS</t>
  </si>
  <si>
    <t>1,111' | 4375 guests</t>
  </si>
  <si>
    <t>07 Sep - 09:00</t>
  </si>
  <si>
    <t>09 Sep - 06:00</t>
  </si>
  <si>
    <t>dep 14:30</t>
  </si>
  <si>
    <t>NORWEGIAN JOY</t>
  </si>
  <si>
    <t>1,094' | 3804 guests</t>
  </si>
  <si>
    <t>10 Sep - 17:00</t>
  </si>
  <si>
    <t>dep 11 Sep 13:30</t>
  </si>
  <si>
    <t>12 Sep - 08:00</t>
  </si>
  <si>
    <t>12 Sep - 22:30</t>
  </si>
  <si>
    <t>dep 13 Sep 19:00</t>
  </si>
  <si>
    <t>13 Sep - 07:30</t>
  </si>
  <si>
    <t>BRILLIANCE OF THE SEAS</t>
  </si>
  <si>
    <t>964' | 2112 guests</t>
  </si>
  <si>
    <t>14 Sep - 07:30</t>
  </si>
  <si>
    <t>CARNIVAL MAGIC</t>
  </si>
  <si>
    <t>1,002' | 3646 guests</t>
  </si>
  <si>
    <t>14 Sep - 08:00</t>
  </si>
  <si>
    <t>dep 22:00</t>
  </si>
  <si>
    <t>ROALD AMUNDSEN</t>
  </si>
  <si>
    <t>459' | 530 guests</t>
  </si>
  <si>
    <t>Rockland</t>
  </si>
  <si>
    <t>14 Sep - 09:00</t>
  </si>
  <si>
    <t>15 Sep - 06:00</t>
  </si>
  <si>
    <t>dep 16 Sep 15:00</t>
  </si>
  <si>
    <t>15 Sep - 11:30</t>
  </si>
  <si>
    <t>17 Sep - 17:00</t>
  </si>
  <si>
    <t>dep 18 Sep 13:30</t>
  </si>
  <si>
    <t>18 Sep - 07:30</t>
  </si>
  <si>
    <t>dep 18:30</t>
  </si>
  <si>
    <t>MEIN SCHIFF 1</t>
  </si>
  <si>
    <t>1,035' | 2894 guests</t>
  </si>
  <si>
    <t>18 Sep - 08:30</t>
  </si>
  <si>
    <t>19 Sep - 08:30</t>
  </si>
  <si>
    <t>SILVER WHISPER</t>
  </si>
  <si>
    <t>610' | 382 guests</t>
  </si>
  <si>
    <t>20 Sep - 07:00</t>
  </si>
  <si>
    <t>20 Sep - 07:30</t>
  </si>
  <si>
    <t>21 Sep - 09:00</t>
  </si>
  <si>
    <t>21 Sep - 10:30</t>
  </si>
  <si>
    <t>22 Sep - 08:00</t>
  </si>
  <si>
    <t>22 Sep - 08:30</t>
  </si>
  <si>
    <t>AURORA</t>
  </si>
  <si>
    <t>885' | 1868 guests</t>
  </si>
  <si>
    <t>23 Sep - 10:30</t>
  </si>
  <si>
    <t>dep 19:00</t>
  </si>
  <si>
    <t>INSIGNIA</t>
  </si>
  <si>
    <t>593' | 684 guests</t>
  </si>
  <si>
    <t>24 Sep - 07:30</t>
  </si>
  <si>
    <t>24 Sep - 17:00</t>
  </si>
  <si>
    <t>dep 25 Sep 13:30</t>
  </si>
  <si>
    <t>25 Sep - 08:00</t>
  </si>
  <si>
    <t>MSC DIVINA</t>
  </si>
  <si>
    <t>1,094' | 4345 guests</t>
  </si>
  <si>
    <t>26 Sep - 08:00</t>
  </si>
  <si>
    <t>26 Sep - 09:30</t>
  </si>
  <si>
    <t>dep 28 Sep 23:30</t>
  </si>
  <si>
    <t>THE WORLD</t>
  </si>
  <si>
    <t>644' | 320 guests</t>
  </si>
  <si>
    <t>27 Sep - 07:00</t>
  </si>
  <si>
    <t>27 Sep - 08:00</t>
  </si>
  <si>
    <t>dep 23:00</t>
  </si>
  <si>
    <t>EVRIMA</t>
  </si>
  <si>
    <t>623' | 298 guests</t>
  </si>
  <si>
    <t>28 Sep - 09:00</t>
  </si>
  <si>
    <t>28 Sep - 11:30</t>
  </si>
  <si>
    <t>STAR PRIDE</t>
  </si>
  <si>
    <t>437' | 208 guests</t>
  </si>
  <si>
    <t>29 Sep - 11:30</t>
  </si>
  <si>
    <t>30 Sep - 12:00</t>
  </si>
  <si>
    <t>30 Sep - 21:30</t>
  </si>
  <si>
    <t>dep 01 Oct 08:30</t>
  </si>
  <si>
    <t>01 Oct - 08:30</t>
  </si>
  <si>
    <t>03 Oct - 08:00</t>
  </si>
  <si>
    <t>03 Oct - 10:30</t>
  </si>
  <si>
    <t>04 Oct - 07:00</t>
  </si>
  <si>
    <t>04 Oct - 07:30</t>
  </si>
  <si>
    <t>05 Oct - 07:30</t>
  </si>
  <si>
    <t>05 Oct - 09:00</t>
  </si>
  <si>
    <t>06 Oct - 06:00</t>
  </si>
  <si>
    <t>06 Oct - 07:30</t>
  </si>
  <si>
    <t>07 Oct - 08:00</t>
  </si>
  <si>
    <t>1,093' | 4345 guests</t>
  </si>
  <si>
    <t>foreign</t>
  </si>
  <si>
    <t>10 Oct - 08:00</t>
  </si>
  <si>
    <t>10 Oct - 08:30</t>
  </si>
  <si>
    <t>SPIRIT OF DISCOVERY</t>
  </si>
  <si>
    <t>776' | 999 guests</t>
  </si>
  <si>
    <t>11 Oct - 07:00</t>
  </si>
  <si>
    <t>12 Oct - 09:00</t>
  </si>
  <si>
    <t>13 Oct - 06:00</t>
  </si>
  <si>
    <t>13 Oct - 11:30</t>
  </si>
  <si>
    <t>14 Oct - 07:30</t>
  </si>
  <si>
    <t>16 Oct - 07:00</t>
  </si>
  <si>
    <t>18 Oct - 07:00</t>
  </si>
  <si>
    <t>19 Oct - 09:00</t>
  </si>
  <si>
    <t>20 Oct - 10:00</t>
  </si>
  <si>
    <t>20 Oct - 11:30</t>
  </si>
  <si>
    <t>23 Oct - 08:00</t>
  </si>
  <si>
    <t>25 Oct - 07:00</t>
  </si>
  <si>
    <t>28 Oct - 08:30</t>
  </si>
  <si>
    <t>30 Oct - 08:30</t>
  </si>
  <si>
    <t>SEABOURN QUEST</t>
  </si>
  <si>
    <t>650' | 450 guests</t>
  </si>
  <si>
    <t>01 Nov - 07:00</t>
  </si>
  <si>
    <t>VESSEL NAME</t>
  </si>
  <si>
    <t>TIME</t>
  </si>
  <si>
    <t>DEPART</t>
  </si>
  <si>
    <t>ARR-DAY</t>
  </si>
  <si>
    <t>DEP-DAY</t>
  </si>
  <si>
    <t>TA</t>
  </si>
  <si>
    <t>BERTH</t>
  </si>
  <si>
    <t>AGENT</t>
  </si>
  <si>
    <t>LINE</t>
  </si>
  <si>
    <t>BOOKED</t>
  </si>
  <si>
    <t>SHIP DETAILS</t>
  </si>
  <si>
    <t>Crew</t>
  </si>
  <si>
    <t>Pearl Mist</t>
  </si>
  <si>
    <t>Sat</t>
  </si>
  <si>
    <t>OG</t>
  </si>
  <si>
    <t>CLCO</t>
  </si>
  <si>
    <t>PS</t>
  </si>
  <si>
    <t>LOA 335-B 56 D 12</t>
  </si>
  <si>
    <t>Norwegian Dawn</t>
  </si>
  <si>
    <t>Thu</t>
  </si>
  <si>
    <t>Intercruise</t>
  </si>
  <si>
    <t>NCL</t>
  </si>
  <si>
    <t>LOA 965-B 106-D 27</t>
  </si>
  <si>
    <t>Constitution</t>
  </si>
  <si>
    <t>Sun</t>
  </si>
  <si>
    <t>ACL</t>
  </si>
  <si>
    <t>LOA 267</t>
  </si>
  <si>
    <t>Grandeur of the Seas</t>
  </si>
  <si>
    <t>P2B2</t>
  </si>
  <si>
    <t>MLS</t>
  </si>
  <si>
    <t>RCI</t>
  </si>
  <si>
    <t>LOA 918-B 106-D 26</t>
  </si>
  <si>
    <t>Tue</t>
  </si>
  <si>
    <t>Wed</t>
  </si>
  <si>
    <t>Independence</t>
  </si>
  <si>
    <t>Fri</t>
  </si>
  <si>
    <t>LOA 215</t>
  </si>
  <si>
    <t>Summit</t>
  </si>
  <si>
    <t>CEL</t>
  </si>
  <si>
    <t>Mon</t>
  </si>
  <si>
    <t>LOA 965-B 106-D 26</t>
  </si>
  <si>
    <t>Grande Mariner</t>
  </si>
  <si>
    <t>Blount</t>
  </si>
  <si>
    <t>LOA 184-B 40-D 6.6</t>
  </si>
  <si>
    <t>AIDAvita</t>
  </si>
  <si>
    <t>Intrcruise</t>
  </si>
  <si>
    <t>Aida Cruise</t>
  </si>
  <si>
    <t>LOA 663-B-92-D 20</t>
  </si>
  <si>
    <t>Caribbean Princess</t>
  </si>
  <si>
    <t>Princess</t>
  </si>
  <si>
    <t>LOA 950</t>
  </si>
  <si>
    <t>Anthem of the Seas</t>
  </si>
  <si>
    <t>RCCI</t>
  </si>
  <si>
    <t>LOA 1142-B42 D29</t>
  </si>
  <si>
    <t>Zuiderdam</t>
  </si>
  <si>
    <t>HAL</t>
  </si>
  <si>
    <t>LOA 936-B 106-D 27</t>
  </si>
  <si>
    <t>Scenic Eclipse</t>
  </si>
  <si>
    <t>Scenic</t>
  </si>
  <si>
    <t>LOA 553 B70 D17</t>
  </si>
  <si>
    <t>Norwegian Gem</t>
  </si>
  <si>
    <t>LOA 964-B 106-D 58</t>
  </si>
  <si>
    <t>Seven Seas Navigato</t>
  </si>
  <si>
    <t>Prestige</t>
  </si>
  <si>
    <t>LOA 560-B 81-D 21</t>
  </si>
  <si>
    <t>Adventure of the Sea</t>
  </si>
  <si>
    <t>LOA 1020-B 127-D 28</t>
  </si>
  <si>
    <t>Windstar Pride</t>
  </si>
  <si>
    <t>WC</t>
  </si>
  <si>
    <t>LOA 440-B 63</t>
  </si>
  <si>
    <t>Norwegian Escape</t>
  </si>
  <si>
    <t>LOA 1069-B 136-D 28</t>
  </si>
  <si>
    <t>LOA 1142-B 42-D29</t>
  </si>
  <si>
    <t>Serenade of the Seas</t>
  </si>
  <si>
    <t>LOA 963-B 106-D 28</t>
  </si>
  <si>
    <t>Aurora</t>
  </si>
  <si>
    <t>P &amp; O</t>
  </si>
  <si>
    <t>LOA 885-B 106- D 26</t>
  </si>
  <si>
    <t>Anchor</t>
  </si>
  <si>
    <t>LOA 935 B 106 D 26</t>
  </si>
  <si>
    <t>Carnival Sunrise</t>
  </si>
  <si>
    <t>CCL</t>
  </si>
  <si>
    <t>LOA 893 B 116 D 27</t>
  </si>
  <si>
    <t>AIDAdiva</t>
  </si>
  <si>
    <t>LOA 827-B-106-D 23</t>
  </si>
  <si>
    <t>Silver Cloud</t>
  </si>
  <si>
    <t>Silversea</t>
  </si>
  <si>
    <t>LOA 514 B 71 D 18</t>
  </si>
  <si>
    <t>Viking Sea</t>
  </si>
  <si>
    <t>SMS</t>
  </si>
  <si>
    <t>LOA 748-B 95 D 21</t>
  </si>
  <si>
    <t>Riviera</t>
  </si>
  <si>
    <t>Oceania</t>
  </si>
  <si>
    <t>LOA 785 B 105 D 24</t>
  </si>
  <si>
    <t>Mein Schiff 1</t>
  </si>
  <si>
    <t>TUI</t>
  </si>
  <si>
    <t>LOA 1035-B 117-D 26</t>
  </si>
  <si>
    <t>Amadea</t>
  </si>
  <si>
    <t>VSLM</t>
  </si>
  <si>
    <t>LOA 633 B 82 D 25</t>
  </si>
  <si>
    <t>Star Pride</t>
  </si>
  <si>
    <t>Meraviglia</t>
  </si>
  <si>
    <t>MSC</t>
  </si>
  <si>
    <t>LOA 1033 B 141 D 28</t>
  </si>
  <si>
    <t>Victory II</t>
  </si>
  <si>
    <t>Inchcape</t>
  </si>
  <si>
    <t>VCL</t>
  </si>
  <si>
    <t>LOA 286</t>
  </si>
  <si>
    <t>Victory I</t>
  </si>
  <si>
    <t xml:space="preserve">ARRIVAL </t>
  </si>
  <si>
    <t xml:space="preserve">PAX </t>
  </si>
  <si>
    <t xml:space="preserve">LOA 1053 B 121 D27 </t>
  </si>
  <si>
    <t xml:space="preserve">Viking </t>
  </si>
  <si>
    <t>Artania</t>
  </si>
  <si>
    <t>Artania Shipping</t>
  </si>
  <si>
    <t>LOA 757-B 107-D 43</t>
  </si>
  <si>
    <t>FRAM</t>
  </si>
  <si>
    <t>HCL</t>
  </si>
  <si>
    <t>LOA 374 B 66 D 16.7</t>
  </si>
  <si>
    <t>Marina</t>
  </si>
  <si>
    <t>OC</t>
  </si>
  <si>
    <t xml:space="preserve">LOA 785 </t>
  </si>
  <si>
    <t>Maasdam</t>
  </si>
  <si>
    <t>LOA 720-B 102-D 25</t>
  </si>
  <si>
    <t>Victory 1</t>
  </si>
  <si>
    <t>tbd</t>
  </si>
  <si>
    <t>LOA 286 B 49 D 13.5</t>
  </si>
  <si>
    <t>American Constitution</t>
  </si>
  <si>
    <t>Hebridean Sky</t>
  </si>
  <si>
    <t>PC</t>
  </si>
  <si>
    <t>LOA 297-B 50-D 14</t>
  </si>
  <si>
    <t>Adventure of the seas</t>
  </si>
  <si>
    <t>LOA 1020-B 158-D 29</t>
  </si>
  <si>
    <t>AIDA</t>
  </si>
  <si>
    <t>LOA 667-B 92-D 20</t>
  </si>
  <si>
    <t>LOA 1020-B 128-D 28</t>
  </si>
  <si>
    <t>24:00: AM</t>
  </si>
  <si>
    <t>BSSA</t>
  </si>
  <si>
    <t>TUE</t>
  </si>
  <si>
    <t>LOA 1142-B 42-D 8.8</t>
  </si>
  <si>
    <t>Insignia</t>
  </si>
  <si>
    <t>LOA-594-B 84-D 20</t>
  </si>
  <si>
    <t>Crystal Symphony</t>
  </si>
  <si>
    <t>CC</t>
  </si>
  <si>
    <t>LOA 781-B 98-D 25</t>
  </si>
  <si>
    <t>LOA 229 B 49 D 13.5</t>
  </si>
  <si>
    <t>LOA 594 B 84 D 20</t>
  </si>
  <si>
    <t>AIDAluna</t>
  </si>
  <si>
    <t>LOA 826 B 105 D 24</t>
  </si>
  <si>
    <t>Mein Schiff 6</t>
  </si>
  <si>
    <t>LOA 970-B 117-D 27</t>
  </si>
  <si>
    <t>LOA 885-B 106-D 26</t>
  </si>
  <si>
    <t>Aida Cruises</t>
  </si>
  <si>
    <t>LOA 827-B 106-D 23</t>
  </si>
  <si>
    <t>LOA 410</t>
  </si>
  <si>
    <t>Royal Princess</t>
  </si>
  <si>
    <t>LOA 1083-B 126-D 28</t>
  </si>
  <si>
    <t>Intercruises</t>
  </si>
  <si>
    <t>LOA 594-B 84-D 20</t>
  </si>
  <si>
    <t>Norwegian Jade</t>
  </si>
  <si>
    <t>LOA 965-B 125 -D 27</t>
  </si>
  <si>
    <t>1016/18</t>
  </si>
  <si>
    <t>Silver Spirit</t>
  </si>
  <si>
    <t>SilverSea</t>
  </si>
  <si>
    <t>LOA 692 B 86 D 21</t>
  </si>
  <si>
    <t>Seven Seas Navigator</t>
  </si>
  <si>
    <t>Bouchard tug &amp; barge</t>
  </si>
  <si>
    <t>LOA 430</t>
  </si>
  <si>
    <t>TBD</t>
  </si>
  <si>
    <t>Iver Prosperity</t>
  </si>
  <si>
    <t>Moran</t>
  </si>
  <si>
    <t>LOA 604</t>
  </si>
  <si>
    <t>Silver Wind</t>
  </si>
  <si>
    <t>Silverseas</t>
  </si>
  <si>
    <t>LOA 511-B 70-D 17</t>
  </si>
  <si>
    <t>Overnight</t>
  </si>
  <si>
    <t>LOA</t>
  </si>
  <si>
    <t>Ferry</t>
  </si>
  <si>
    <t>PAX</t>
  </si>
  <si>
    <t>ARRIVAL</t>
  </si>
  <si>
    <t>American Constellation</t>
  </si>
  <si>
    <t>SAT</t>
  </si>
  <si>
    <t>SUN</t>
  </si>
  <si>
    <t>Anthem</t>
  </si>
  <si>
    <t>Carnival Sunshine</t>
  </si>
  <si>
    <t>Vision of the Seas</t>
  </si>
  <si>
    <t>`9/12/17</t>
  </si>
  <si>
    <t>Silver Whisper</t>
  </si>
  <si>
    <t>Crystal Serenity</t>
  </si>
  <si>
    <t>Crystal</t>
  </si>
  <si>
    <t>Silver Explorer</t>
  </si>
  <si>
    <t xml:space="preserve">Anthem </t>
  </si>
  <si>
    <t xml:space="preserve">Mon </t>
  </si>
  <si>
    <t xml:space="preserve">P2B2 </t>
  </si>
  <si>
    <t xml:space="preserve">MLS </t>
  </si>
  <si>
    <t xml:space="preserve">RCI </t>
  </si>
  <si>
    <t xml:space="preserve">Serenade  of  the  Seas </t>
  </si>
  <si>
    <t xml:space="preserve">Tue </t>
  </si>
  <si>
    <t xml:space="preserve">POT </t>
  </si>
  <si>
    <t xml:space="preserve">Carnival Sunshine </t>
  </si>
  <si>
    <t xml:space="preserve">Intercruise </t>
  </si>
  <si>
    <t xml:space="preserve">CCL </t>
  </si>
  <si>
    <t xml:space="preserve">Ferry </t>
  </si>
  <si>
    <t xml:space="preserve">OG </t>
  </si>
  <si>
    <t xml:space="preserve">Vision  of  the  Seas </t>
  </si>
  <si>
    <t xml:space="preserve">Wed </t>
  </si>
  <si>
    <t xml:space="preserve">Norwegian  Gem </t>
  </si>
  <si>
    <t xml:space="preserve">Thu </t>
  </si>
  <si>
    <t xml:space="preserve">NCL </t>
  </si>
  <si>
    <t xml:space="preserve">Sun </t>
  </si>
  <si>
    <t xml:space="preserve">Silver Muse </t>
  </si>
  <si>
    <t xml:space="preserve">CLCO </t>
  </si>
  <si>
    <t xml:space="preserve">Silversea </t>
  </si>
  <si>
    <t xml:space="preserve">Vision of the Seas </t>
  </si>
  <si>
    <t xml:space="preserve">Norwegian Jade </t>
  </si>
  <si>
    <t xml:space="preserve">Norwegian Gem </t>
  </si>
  <si>
    <t xml:space="preserve">Summit </t>
  </si>
  <si>
    <t xml:space="preserve">CEL </t>
  </si>
  <si>
    <t xml:space="preserve">Serenade of  the  Seas </t>
  </si>
  <si>
    <t xml:space="preserve">Fri </t>
  </si>
  <si>
    <t xml:space="preserve">Crystal Serenity </t>
  </si>
  <si>
    <t xml:space="preserve">Sat </t>
  </si>
  <si>
    <t xml:space="preserve">Crystal </t>
  </si>
  <si>
    <t xml:space="preserve">Norwegian Dawn </t>
  </si>
  <si>
    <t xml:space="preserve">Grandeur of  the  Seas </t>
  </si>
  <si>
    <t xml:space="preserve">Pearl Mist </t>
  </si>
  <si>
    <t xml:space="preserve">PS </t>
  </si>
  <si>
    <t xml:space="preserve">AIDAdiva </t>
  </si>
  <si>
    <t xml:space="preserve">Intrcruise </t>
  </si>
  <si>
    <t>AIDAmar</t>
  </si>
  <si>
    <t>B</t>
  </si>
  <si>
    <t>D</t>
  </si>
  <si>
    <t>Seven Seas Mariner</t>
  </si>
  <si>
    <t>HOURS</t>
  </si>
  <si>
    <t>Beam</t>
  </si>
  <si>
    <t>Displacement</t>
  </si>
  <si>
    <t>OVERNIGHT</t>
  </si>
  <si>
    <t>Balmoral</t>
  </si>
  <si>
    <t>Fred Olsen</t>
  </si>
  <si>
    <t>LOA 715-B 93-D 23</t>
  </si>
  <si>
    <t>LOA 325</t>
  </si>
  <si>
    <t>American Glory</t>
  </si>
  <si>
    <t>LOA 166</t>
  </si>
  <si>
    <t>Rotterdam</t>
  </si>
  <si>
    <t>LOA 780-B 106-D 36</t>
  </si>
  <si>
    <t>LOA 1142-B 42-8.8</t>
  </si>
  <si>
    <t>LOA 894-B 117-D 27</t>
  </si>
  <si>
    <t>Regatta</t>
  </si>
  <si>
    <t>LOA 594-B 83-D 20</t>
  </si>
  <si>
    <t>Arcadia</t>
  </si>
  <si>
    <t>LOA 935-B 106-D 26</t>
  </si>
  <si>
    <t>LOA 820-B 106-D 25</t>
  </si>
  <si>
    <t>Silver Sea</t>
  </si>
  <si>
    <t>LOA 610-B 82-D 10</t>
  </si>
  <si>
    <t>LOA 354-B51-D 23</t>
  </si>
  <si>
    <t>Quest</t>
  </si>
  <si>
    <t>ACC</t>
  </si>
  <si>
    <t>LOA 286.3</t>
  </si>
  <si>
    <t>Sirena</t>
  </si>
  <si>
    <t>RSS</t>
  </si>
  <si>
    <t>LOA 709-B 94-D 24</t>
  </si>
  <si>
    <t>LOA 831-B 106-D 22</t>
  </si>
  <si>
    <t/>
  </si>
  <si>
    <t>Saint Laurent</t>
  </si>
  <si>
    <t>Haimark</t>
  </si>
  <si>
    <t>LOA 965</t>
  </si>
  <si>
    <t>Grande Caribe</t>
  </si>
  <si>
    <t>LOA 184</t>
  </si>
  <si>
    <t>Veendam</t>
  </si>
  <si>
    <t>estinations N</t>
  </si>
  <si>
    <t>LOA 720-B 101-D 26</t>
  </si>
  <si>
    <t>Liberty of the Seas</t>
  </si>
  <si>
    <t>LOA 1112-B 123-D 29</t>
  </si>
  <si>
    <t>Carnival Splendor</t>
  </si>
  <si>
    <t>Carnival</t>
  </si>
  <si>
    <t>LOA 952-B 116- D 27</t>
  </si>
  <si>
    <t>POT/OG</t>
  </si>
  <si>
    <t>Serenade</t>
  </si>
  <si>
    <t>Brilliance of The Seas</t>
  </si>
  <si>
    <t>The World</t>
  </si>
  <si>
    <t>Residensea</t>
  </si>
  <si>
    <t>LOA 644</t>
  </si>
  <si>
    <t xml:space="preserve">LOA 594-B 84-D 20 </t>
  </si>
  <si>
    <t>Eurodam</t>
  </si>
  <si>
    <t xml:space="preserve">Destinations </t>
  </si>
  <si>
    <t>LOA 936-B 106-D 26</t>
  </si>
  <si>
    <t>LOA 963-B 106-D28</t>
  </si>
  <si>
    <t>63/2013</t>
  </si>
  <si>
    <t>LOA 610-B 82-D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</si>
</sst>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Arial-BoldMT"/>
    </font>
    <font>
      <sz val="11"/>
      <name val="Calibri"/>
      <family val="2"/>
      <scheme val="minor"/>
    </font>
    <font>
      <sz val="9"/>
      <name val="ArialMT"/>
    </font>
    <font>
      <sz val="10.5"/>
      <name val="ArialMT"/>
    </font>
    <font>
      <sz val="9"/>
      <name val="Arial-BoldMT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0" fontId="0" fillId="0" borderId="0" xfId="0" applyNumberFormat="1"/>
    <xf numFmtId="3" fontId="0" fillId="0" borderId="0" xfId="0" applyNumberFormat="1"/>
    <xf numFmtId="21" fontId="0" fillId="0" borderId="0" xfId="0" applyNumberFormat="1"/>
    <xf numFmtId="0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14" fontId="4" fillId="0" borderId="0" xfId="0" applyNumberFormat="1" applyFont="1" applyAlignment="1">
      <alignment vertical="center"/>
    </xf>
    <xf numFmtId="20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3" fontId="4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4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7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94"/>
  <sheetViews>
    <sheetView workbookViewId="0">
      <selection activeCell="A9" sqref="A9"/>
    </sheetView>
  </sheetViews>
  <sheetFormatPr defaultRowHeight="14.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1</v>
      </c>
    </row>
    <row r="10" spans="1:1">
      <c r="A10" t="s">
        <v>2</v>
      </c>
    </row>
    <row r="11" spans="1:1">
      <c r="A11" t="s">
        <v>3</v>
      </c>
    </row>
    <row r="12" spans="1:1">
      <c r="A12" t="s">
        <v>4</v>
      </c>
    </row>
    <row r="13" spans="1:1">
      <c r="A13" t="s">
        <v>5</v>
      </c>
    </row>
    <row r="14" spans="1:1">
      <c r="A14" t="s">
        <v>6</v>
      </c>
    </row>
    <row r="15" spans="1:1">
      <c r="A15" t="s">
        <v>8</v>
      </c>
    </row>
    <row r="16" spans="1:1">
      <c r="A16" t="s">
        <v>9</v>
      </c>
    </row>
    <row r="17" spans="1:1">
      <c r="A17" t="s">
        <v>10</v>
      </c>
    </row>
    <row r="18" spans="1:1">
      <c r="A18" t="s">
        <v>11</v>
      </c>
    </row>
    <row r="19" spans="1:1">
      <c r="A19" t="s">
        <v>4</v>
      </c>
    </row>
    <row r="20" spans="1:1">
      <c r="A20" t="s">
        <v>5</v>
      </c>
    </row>
    <row r="21" spans="1:1">
      <c r="A21" t="s">
        <v>6</v>
      </c>
    </row>
    <row r="22" spans="1:1">
      <c r="A22" t="s">
        <v>12</v>
      </c>
    </row>
    <row r="23" spans="1:1">
      <c r="A23" t="s">
        <v>13</v>
      </c>
    </row>
    <row r="24" spans="1:1">
      <c r="A24" t="s">
        <v>10</v>
      </c>
    </row>
    <row r="25" spans="1:1">
      <c r="A25" t="s">
        <v>11</v>
      </c>
    </row>
    <row r="26" spans="1:1">
      <c r="A26" t="s">
        <v>4</v>
      </c>
    </row>
    <row r="27" spans="1:1">
      <c r="A27" t="s">
        <v>5</v>
      </c>
    </row>
    <row r="28" spans="1:1">
      <c r="A28" t="s">
        <v>6</v>
      </c>
    </row>
    <row r="29" spans="1:1">
      <c r="A29" t="s">
        <v>14</v>
      </c>
    </row>
    <row r="30" spans="1:1">
      <c r="A30" t="s">
        <v>15</v>
      </c>
    </row>
    <row r="31" spans="1:1">
      <c r="A31" t="s">
        <v>10</v>
      </c>
    </row>
    <row r="32" spans="1:1">
      <c r="A32" t="s">
        <v>11</v>
      </c>
    </row>
    <row r="33" spans="1:1">
      <c r="A33" t="s">
        <v>4</v>
      </c>
    </row>
    <row r="34" spans="1:1">
      <c r="A34" t="s">
        <v>5</v>
      </c>
    </row>
    <row r="35" spans="1:1">
      <c r="A35" t="s">
        <v>6</v>
      </c>
    </row>
    <row r="36" spans="1:1">
      <c r="A36" t="s">
        <v>16</v>
      </c>
    </row>
    <row r="37" spans="1:1">
      <c r="A37" t="s">
        <v>17</v>
      </c>
    </row>
    <row r="38" spans="1:1">
      <c r="A38" t="s">
        <v>10</v>
      </c>
    </row>
    <row r="39" spans="1:1">
      <c r="A39" t="s">
        <v>11</v>
      </c>
    </row>
    <row r="40" spans="1:1">
      <c r="A40" t="s">
        <v>4</v>
      </c>
    </row>
    <row r="41" spans="1:1">
      <c r="A41" t="s">
        <v>5</v>
      </c>
    </row>
    <row r="42" spans="1:1">
      <c r="A42" t="s">
        <v>6</v>
      </c>
    </row>
    <row r="43" spans="1:1">
      <c r="A43" t="s">
        <v>18</v>
      </c>
    </row>
    <row r="44" spans="1:1">
      <c r="A44" t="s">
        <v>19</v>
      </c>
    </row>
    <row r="45" spans="1:1">
      <c r="A45" t="s">
        <v>20</v>
      </c>
    </row>
    <row r="46" spans="1:1">
      <c r="A46" t="s">
        <v>21</v>
      </c>
    </row>
    <row r="47" spans="1:1">
      <c r="A47" t="s">
        <v>4</v>
      </c>
    </row>
    <row r="48" spans="1:1">
      <c r="A48" t="s">
        <v>5</v>
      </c>
    </row>
    <row r="49" spans="1:1">
      <c r="A49" t="s">
        <v>6</v>
      </c>
    </row>
    <row r="50" spans="1:1">
      <c r="A50" t="s">
        <v>22</v>
      </c>
    </row>
    <row r="51" spans="1:1">
      <c r="A51" t="s">
        <v>23</v>
      </c>
    </row>
    <row r="52" spans="1:1">
      <c r="A52" t="s">
        <v>10</v>
      </c>
    </row>
    <row r="53" spans="1:1">
      <c r="A53" t="s">
        <v>11</v>
      </c>
    </row>
    <row r="54" spans="1:1">
      <c r="A54" t="s">
        <v>4</v>
      </c>
    </row>
    <row r="55" spans="1:1">
      <c r="A55" t="s">
        <v>5</v>
      </c>
    </row>
    <row r="56" spans="1:1">
      <c r="A56" t="s">
        <v>6</v>
      </c>
    </row>
    <row r="57" spans="1:1">
      <c r="A57" t="s">
        <v>24</v>
      </c>
    </row>
    <row r="58" spans="1:1">
      <c r="A58" t="s">
        <v>25</v>
      </c>
    </row>
    <row r="59" spans="1:1">
      <c r="A59" t="s">
        <v>20</v>
      </c>
    </row>
    <row r="60" spans="1:1">
      <c r="A60" t="s">
        <v>21</v>
      </c>
    </row>
    <row r="61" spans="1:1">
      <c r="A61" t="s">
        <v>4</v>
      </c>
    </row>
    <row r="62" spans="1:1">
      <c r="A62" t="s">
        <v>5</v>
      </c>
    </row>
    <row r="63" spans="1:1">
      <c r="A63" t="s">
        <v>6</v>
      </c>
    </row>
    <row r="64" spans="1:1">
      <c r="A64" t="s">
        <v>26</v>
      </c>
    </row>
    <row r="65" spans="1:1">
      <c r="A65" t="s">
        <v>27</v>
      </c>
    </row>
    <row r="66" spans="1:1">
      <c r="A66" t="s">
        <v>10</v>
      </c>
    </row>
    <row r="67" spans="1:1">
      <c r="A67" t="s">
        <v>11</v>
      </c>
    </row>
    <row r="68" spans="1:1">
      <c r="A68" t="s">
        <v>4</v>
      </c>
    </row>
    <row r="69" spans="1:1">
      <c r="A69" t="s">
        <v>5</v>
      </c>
    </row>
    <row r="70" spans="1:1">
      <c r="A70" t="s">
        <v>6</v>
      </c>
    </row>
    <row r="71" spans="1:1">
      <c r="A71" t="s">
        <v>28</v>
      </c>
    </row>
    <row r="72" spans="1:1">
      <c r="A72" t="s">
        <v>29</v>
      </c>
    </row>
    <row r="73" spans="1:1">
      <c r="A73" t="s">
        <v>10</v>
      </c>
    </row>
    <row r="74" spans="1:1">
      <c r="A74" t="s">
        <v>11</v>
      </c>
    </row>
    <row r="75" spans="1:1">
      <c r="A75" t="s">
        <v>4</v>
      </c>
    </row>
    <row r="76" spans="1:1">
      <c r="A76" t="s">
        <v>5</v>
      </c>
    </row>
    <row r="77" spans="1:1">
      <c r="A77" t="s">
        <v>6</v>
      </c>
    </row>
    <row r="78" spans="1:1">
      <c r="A78" t="s">
        <v>30</v>
      </c>
    </row>
    <row r="79" spans="1:1">
      <c r="A79" t="s">
        <v>1</v>
      </c>
    </row>
    <row r="80" spans="1:1">
      <c r="A80" t="s">
        <v>31</v>
      </c>
    </row>
    <row r="81" spans="1:1">
      <c r="A81" t="s">
        <v>32</v>
      </c>
    </row>
    <row r="82" spans="1:1">
      <c r="A82" t="s">
        <v>33</v>
      </c>
    </row>
    <row r="83" spans="1:1">
      <c r="A83" t="s">
        <v>5</v>
      </c>
    </row>
    <row r="84" spans="1:1">
      <c r="A84" t="s">
        <v>6</v>
      </c>
    </row>
    <row r="85" spans="1:1">
      <c r="A85" t="s">
        <v>34</v>
      </c>
    </row>
    <row r="86" spans="1:1">
      <c r="A86" t="s">
        <v>35</v>
      </c>
    </row>
    <row r="87" spans="1:1">
      <c r="A87" t="s">
        <v>20</v>
      </c>
    </row>
    <row r="88" spans="1:1">
      <c r="A88" t="s">
        <v>21</v>
      </c>
    </row>
    <row r="89" spans="1:1">
      <c r="A89" t="s">
        <v>4</v>
      </c>
    </row>
    <row r="90" spans="1:1">
      <c r="A90" t="s">
        <v>5</v>
      </c>
    </row>
    <row r="91" spans="1:1">
      <c r="A91" t="s">
        <v>6</v>
      </c>
    </row>
    <row r="92" spans="1:1">
      <c r="A92" t="s">
        <v>36</v>
      </c>
    </row>
    <row r="93" spans="1:1">
      <c r="A93" t="s">
        <v>37</v>
      </c>
    </row>
    <row r="94" spans="1:1">
      <c r="A94" t="s">
        <v>10</v>
      </c>
    </row>
    <row r="95" spans="1:1">
      <c r="A95" t="s">
        <v>11</v>
      </c>
    </row>
    <row r="96" spans="1:1">
      <c r="A96" t="s">
        <v>4</v>
      </c>
    </row>
    <row r="97" spans="1:1">
      <c r="A97" t="s">
        <v>5</v>
      </c>
    </row>
    <row r="98" spans="1:1">
      <c r="A98" t="s">
        <v>6</v>
      </c>
    </row>
    <row r="99" spans="1:1">
      <c r="A99" t="s">
        <v>38</v>
      </c>
    </row>
    <row r="100" spans="1:1">
      <c r="A100" t="s">
        <v>39</v>
      </c>
    </row>
    <row r="101" spans="1:1">
      <c r="A101" t="s">
        <v>20</v>
      </c>
    </row>
    <row r="102" spans="1:1">
      <c r="A102" t="s">
        <v>21</v>
      </c>
    </row>
    <row r="103" spans="1:1">
      <c r="A103" t="s">
        <v>4</v>
      </c>
    </row>
    <row r="104" spans="1:1">
      <c r="A104" t="s">
        <v>5</v>
      </c>
    </row>
    <row r="105" spans="1:1">
      <c r="A105" t="s">
        <v>6</v>
      </c>
    </row>
    <row r="106" spans="1:1">
      <c r="A106" t="s">
        <v>40</v>
      </c>
    </row>
    <row r="107" spans="1:1">
      <c r="A107" t="s">
        <v>41</v>
      </c>
    </row>
    <row r="108" spans="1:1">
      <c r="A108" t="s">
        <v>10</v>
      </c>
    </row>
    <row r="109" spans="1:1">
      <c r="A109" t="s">
        <v>11</v>
      </c>
    </row>
    <row r="110" spans="1:1">
      <c r="A110" t="s">
        <v>4</v>
      </c>
    </row>
    <row r="111" spans="1:1">
      <c r="A111" t="s">
        <v>5</v>
      </c>
    </row>
    <row r="112" spans="1:1">
      <c r="A112" t="s">
        <v>6</v>
      </c>
    </row>
    <row r="113" spans="1:1">
      <c r="A113" t="s">
        <v>42</v>
      </c>
    </row>
    <row r="114" spans="1:1">
      <c r="A114" t="s">
        <v>43</v>
      </c>
    </row>
    <row r="115" spans="1:1">
      <c r="A115" t="s">
        <v>44</v>
      </c>
    </row>
    <row r="116" spans="1:1">
      <c r="A116" t="s">
        <v>45</v>
      </c>
    </row>
    <row r="117" spans="1:1">
      <c r="A117" t="s">
        <v>33</v>
      </c>
    </row>
    <row r="118" spans="1:1">
      <c r="A118" t="s">
        <v>5</v>
      </c>
    </row>
    <row r="119" spans="1:1">
      <c r="A119" t="s">
        <v>6</v>
      </c>
    </row>
    <row r="120" spans="1:1">
      <c r="A120" t="s">
        <v>46</v>
      </c>
    </row>
    <row r="121" spans="1:1">
      <c r="A121" t="s">
        <v>47</v>
      </c>
    </row>
    <row r="122" spans="1:1">
      <c r="A122" t="s">
        <v>10</v>
      </c>
    </row>
    <row r="123" spans="1:1">
      <c r="A123" t="s">
        <v>11</v>
      </c>
    </row>
    <row r="124" spans="1:1">
      <c r="A124" t="s">
        <v>4</v>
      </c>
    </row>
    <row r="125" spans="1:1">
      <c r="A125" t="s">
        <v>5</v>
      </c>
    </row>
    <row r="126" spans="1:1">
      <c r="A126" t="s">
        <v>6</v>
      </c>
    </row>
    <row r="127" spans="1:1">
      <c r="A127" t="s">
        <v>48</v>
      </c>
    </row>
    <row r="128" spans="1:1">
      <c r="A128" t="s">
        <v>49</v>
      </c>
    </row>
    <row r="129" spans="1:1">
      <c r="A129" t="s">
        <v>20</v>
      </c>
    </row>
    <row r="130" spans="1:1">
      <c r="A130" t="s">
        <v>21</v>
      </c>
    </row>
    <row r="131" spans="1:1">
      <c r="A131" t="s">
        <v>4</v>
      </c>
    </row>
    <row r="132" spans="1:1">
      <c r="A132" t="s">
        <v>5</v>
      </c>
    </row>
    <row r="133" spans="1:1">
      <c r="A133" t="s">
        <v>6</v>
      </c>
    </row>
    <row r="134" spans="1:1">
      <c r="A134" t="s">
        <v>50</v>
      </c>
    </row>
    <row r="135" spans="1:1">
      <c r="A135" t="s">
        <v>51</v>
      </c>
    </row>
    <row r="136" spans="1:1">
      <c r="A136" t="s">
        <v>10</v>
      </c>
    </row>
    <row r="137" spans="1:1">
      <c r="A137" t="s">
        <v>11</v>
      </c>
    </row>
    <row r="138" spans="1:1">
      <c r="A138" t="s">
        <v>4</v>
      </c>
    </row>
    <row r="139" spans="1:1">
      <c r="A139" t="s">
        <v>5</v>
      </c>
    </row>
    <row r="140" spans="1:1">
      <c r="A140" t="s">
        <v>6</v>
      </c>
    </row>
    <row r="141" spans="1:1">
      <c r="A141" t="s">
        <v>52</v>
      </c>
    </row>
    <row r="142" spans="1:1">
      <c r="A142" t="s">
        <v>53</v>
      </c>
    </row>
    <row r="143" spans="1:1">
      <c r="A143" t="s">
        <v>54</v>
      </c>
    </row>
    <row r="144" spans="1:1">
      <c r="A144" t="s">
        <v>55</v>
      </c>
    </row>
    <row r="145" spans="1:1">
      <c r="A145" t="s">
        <v>33</v>
      </c>
    </row>
    <row r="146" spans="1:1">
      <c r="A146" t="s">
        <v>5</v>
      </c>
    </row>
    <row r="147" spans="1:1">
      <c r="A147" t="s">
        <v>6</v>
      </c>
    </row>
    <row r="148" spans="1:1">
      <c r="A148" t="s">
        <v>56</v>
      </c>
    </row>
    <row r="149" spans="1:1">
      <c r="A149" t="s">
        <v>57</v>
      </c>
    </row>
    <row r="150" spans="1:1">
      <c r="A150" t="s">
        <v>44</v>
      </c>
    </row>
    <row r="151" spans="1:1">
      <c r="A151" t="s">
        <v>45</v>
      </c>
    </row>
    <row r="152" spans="1:1">
      <c r="A152" t="s">
        <v>33</v>
      </c>
    </row>
    <row r="153" spans="1:1">
      <c r="A153" t="s">
        <v>5</v>
      </c>
    </row>
    <row r="154" spans="1:1">
      <c r="A154" t="s">
        <v>6</v>
      </c>
    </row>
    <row r="155" spans="1:1">
      <c r="A155" t="s">
        <v>58</v>
      </c>
    </row>
    <row r="156" spans="1:1">
      <c r="A156" t="s">
        <v>59</v>
      </c>
    </row>
    <row r="157" spans="1:1">
      <c r="A157" t="s">
        <v>20</v>
      </c>
    </row>
    <row r="158" spans="1:1">
      <c r="A158" t="s">
        <v>21</v>
      </c>
    </row>
    <row r="159" spans="1:1">
      <c r="A159" t="s">
        <v>4</v>
      </c>
    </row>
    <row r="160" spans="1:1">
      <c r="A160" t="s">
        <v>5</v>
      </c>
    </row>
    <row r="161" spans="1:1">
      <c r="A161" t="s">
        <v>6</v>
      </c>
    </row>
    <row r="162" spans="1:1">
      <c r="A162" t="s">
        <v>60</v>
      </c>
    </row>
    <row r="163" spans="1:1">
      <c r="A163" t="s">
        <v>61</v>
      </c>
    </row>
    <row r="164" spans="1:1">
      <c r="A164" t="s">
        <v>10</v>
      </c>
    </row>
    <row r="165" spans="1:1">
      <c r="A165" t="s">
        <v>11</v>
      </c>
    </row>
    <row r="166" spans="1:1">
      <c r="A166" t="s">
        <v>4</v>
      </c>
    </row>
    <row r="167" spans="1:1">
      <c r="A167" t="s">
        <v>5</v>
      </c>
    </row>
    <row r="168" spans="1:1">
      <c r="A168" t="s">
        <v>6</v>
      </c>
    </row>
    <row r="169" spans="1:1">
      <c r="A169" t="s">
        <v>62</v>
      </c>
    </row>
    <row r="170" spans="1:1">
      <c r="A170" t="s">
        <v>63</v>
      </c>
    </row>
    <row r="171" spans="1:1">
      <c r="A171" t="s">
        <v>10</v>
      </c>
    </row>
    <row r="172" spans="1:1">
      <c r="A172" t="s">
        <v>11</v>
      </c>
    </row>
    <row r="173" spans="1:1">
      <c r="A173" t="s">
        <v>4</v>
      </c>
    </row>
    <row r="174" spans="1:1">
      <c r="A174" t="s">
        <v>5</v>
      </c>
    </row>
    <row r="175" spans="1:1">
      <c r="A175" t="s">
        <v>6</v>
      </c>
    </row>
    <row r="176" spans="1:1">
      <c r="A176" t="s">
        <v>64</v>
      </c>
    </row>
    <row r="177" spans="1:1">
      <c r="A177" t="s">
        <v>65</v>
      </c>
    </row>
    <row r="178" spans="1:1">
      <c r="A178" t="s">
        <v>20</v>
      </c>
    </row>
    <row r="179" spans="1:1">
      <c r="A179" t="s">
        <v>21</v>
      </c>
    </row>
    <row r="180" spans="1:1">
      <c r="A180" t="s">
        <v>4</v>
      </c>
    </row>
    <row r="181" spans="1:1">
      <c r="A181" t="s">
        <v>5</v>
      </c>
    </row>
    <row r="182" spans="1:1">
      <c r="A182" t="s">
        <v>6</v>
      </c>
    </row>
    <row r="183" spans="1:1">
      <c r="A183" t="s">
        <v>66</v>
      </c>
    </row>
    <row r="184" spans="1:1">
      <c r="A184" t="s">
        <v>67</v>
      </c>
    </row>
    <row r="185" spans="1:1">
      <c r="A185" t="s">
        <v>10</v>
      </c>
    </row>
    <row r="186" spans="1:1">
      <c r="A186" t="s">
        <v>11</v>
      </c>
    </row>
    <row r="187" spans="1:1">
      <c r="A187" t="s">
        <v>4</v>
      </c>
    </row>
    <row r="188" spans="1:1">
      <c r="A188" t="s">
        <v>5</v>
      </c>
    </row>
    <row r="189" spans="1:1">
      <c r="A189" t="s">
        <v>6</v>
      </c>
    </row>
    <row r="190" spans="1:1">
      <c r="A190" t="s">
        <v>68</v>
      </c>
    </row>
    <row r="191" spans="1:1">
      <c r="A191" t="s">
        <v>69</v>
      </c>
    </row>
    <row r="192" spans="1:1">
      <c r="A192" t="s">
        <v>70</v>
      </c>
    </row>
    <row r="193" spans="1:1">
      <c r="A193" t="s">
        <v>71</v>
      </c>
    </row>
    <row r="194" spans="1:1">
      <c r="A194" t="s">
        <v>72</v>
      </c>
    </row>
    <row r="195" spans="1:1">
      <c r="A195" t="s">
        <v>5</v>
      </c>
    </row>
    <row r="196" spans="1:1">
      <c r="A196" t="s">
        <v>6</v>
      </c>
    </row>
    <row r="197" spans="1:1">
      <c r="A197" t="s">
        <v>73</v>
      </c>
    </row>
    <row r="198" spans="1:1">
      <c r="A198" t="s">
        <v>74</v>
      </c>
    </row>
    <row r="199" spans="1:1">
      <c r="A199" t="s">
        <v>31</v>
      </c>
    </row>
    <row r="200" spans="1:1">
      <c r="A200" t="s">
        <v>32</v>
      </c>
    </row>
    <row r="201" spans="1:1">
      <c r="A201" t="s">
        <v>33</v>
      </c>
    </row>
    <row r="202" spans="1:1">
      <c r="A202" t="s">
        <v>5</v>
      </c>
    </row>
    <row r="203" spans="1:1">
      <c r="A203" t="s">
        <v>6</v>
      </c>
    </row>
    <row r="204" spans="1:1">
      <c r="A204" t="s">
        <v>75</v>
      </c>
    </row>
    <row r="205" spans="1:1">
      <c r="A205" t="s">
        <v>76</v>
      </c>
    </row>
    <row r="206" spans="1:1">
      <c r="A206" t="s">
        <v>20</v>
      </c>
    </row>
    <row r="207" spans="1:1">
      <c r="A207" t="s">
        <v>21</v>
      </c>
    </row>
    <row r="208" spans="1:1">
      <c r="A208" t="s">
        <v>4</v>
      </c>
    </row>
    <row r="209" spans="1:1">
      <c r="A209" t="s">
        <v>5</v>
      </c>
    </row>
    <row r="210" spans="1:1">
      <c r="A210" t="s">
        <v>6</v>
      </c>
    </row>
    <row r="211" spans="1:1">
      <c r="A211" t="s">
        <v>77</v>
      </c>
    </row>
    <row r="212" spans="1:1">
      <c r="A212" t="s">
        <v>78</v>
      </c>
    </row>
    <row r="213" spans="1:1">
      <c r="A213" t="s">
        <v>10</v>
      </c>
    </row>
    <row r="214" spans="1:1">
      <c r="A214" t="s">
        <v>11</v>
      </c>
    </row>
    <row r="215" spans="1:1">
      <c r="A215" t="s">
        <v>4</v>
      </c>
    </row>
    <row r="216" spans="1:1">
      <c r="A216" t="s">
        <v>5</v>
      </c>
    </row>
    <row r="217" spans="1:1">
      <c r="A217" t="s">
        <v>6</v>
      </c>
    </row>
    <row r="218" spans="1:1">
      <c r="A218" t="s">
        <v>79</v>
      </c>
    </row>
    <row r="219" spans="1:1">
      <c r="A219" t="s">
        <v>53</v>
      </c>
    </row>
    <row r="220" spans="1:1">
      <c r="A220" t="s">
        <v>80</v>
      </c>
    </row>
    <row r="221" spans="1:1">
      <c r="A221" t="s">
        <v>81</v>
      </c>
    </row>
    <row r="222" spans="1:1">
      <c r="A222" t="s">
        <v>72</v>
      </c>
    </row>
    <row r="223" spans="1:1">
      <c r="A223" t="s">
        <v>5</v>
      </c>
    </row>
    <row r="224" spans="1:1">
      <c r="A224" t="s">
        <v>6</v>
      </c>
    </row>
    <row r="225" spans="1:1">
      <c r="A225" t="s">
        <v>82</v>
      </c>
    </row>
    <row r="226" spans="1:1">
      <c r="A226" t="s">
        <v>69</v>
      </c>
    </row>
    <row r="227" spans="1:1">
      <c r="A227" t="s">
        <v>83</v>
      </c>
    </row>
    <row r="228" spans="1:1">
      <c r="A228" t="s">
        <v>84</v>
      </c>
    </row>
    <row r="229" spans="1:1">
      <c r="A229" t="s">
        <v>72</v>
      </c>
    </row>
    <row r="230" spans="1:1">
      <c r="A230" t="s">
        <v>5</v>
      </c>
    </row>
    <row r="231" spans="1:1">
      <c r="A231" t="s">
        <v>6</v>
      </c>
    </row>
    <row r="232" spans="1:1">
      <c r="A232" t="s">
        <v>85</v>
      </c>
    </row>
    <row r="233" spans="1:1">
      <c r="A233" t="s">
        <v>53</v>
      </c>
    </row>
    <row r="234" spans="1:1">
      <c r="A234" t="s">
        <v>86</v>
      </c>
    </row>
    <row r="235" spans="1:1">
      <c r="A235" t="s">
        <v>87</v>
      </c>
    </row>
    <row r="236" spans="1:1">
      <c r="A236" t="s">
        <v>72</v>
      </c>
    </row>
    <row r="237" spans="1:1">
      <c r="A237" t="s">
        <v>5</v>
      </c>
    </row>
    <row r="238" spans="1:1">
      <c r="A238" t="s">
        <v>6</v>
      </c>
    </row>
    <row r="239" spans="1:1">
      <c r="A239" t="s">
        <v>88</v>
      </c>
    </row>
    <row r="240" spans="1:1">
      <c r="A240" t="s">
        <v>89</v>
      </c>
    </row>
    <row r="241" spans="1:1">
      <c r="A241" t="s">
        <v>90</v>
      </c>
    </row>
    <row r="242" spans="1:1">
      <c r="A242" t="s">
        <v>91</v>
      </c>
    </row>
    <row r="243" spans="1:1">
      <c r="A243" t="s">
        <v>33</v>
      </c>
    </row>
    <row r="244" spans="1:1">
      <c r="A244" t="s">
        <v>5</v>
      </c>
    </row>
    <row r="245" spans="1:1">
      <c r="A245" t="s">
        <v>6</v>
      </c>
    </row>
    <row r="246" spans="1:1">
      <c r="A246" t="s">
        <v>92</v>
      </c>
    </row>
    <row r="247" spans="1:1">
      <c r="A247" t="s">
        <v>93</v>
      </c>
    </row>
    <row r="248" spans="1:1">
      <c r="A248" t="s">
        <v>20</v>
      </c>
    </row>
    <row r="249" spans="1:1">
      <c r="A249" t="s">
        <v>21</v>
      </c>
    </row>
    <row r="250" spans="1:1">
      <c r="A250" t="s">
        <v>4</v>
      </c>
    </row>
    <row r="251" spans="1:1">
      <c r="A251" t="s">
        <v>5</v>
      </c>
    </row>
    <row r="252" spans="1:1">
      <c r="A252" t="s">
        <v>6</v>
      </c>
    </row>
    <row r="253" spans="1:1">
      <c r="A253" t="s">
        <v>94</v>
      </c>
    </row>
    <row r="254" spans="1:1">
      <c r="A254" t="s">
        <v>95</v>
      </c>
    </row>
    <row r="255" spans="1:1">
      <c r="A255" t="s">
        <v>10</v>
      </c>
    </row>
    <row r="256" spans="1:1">
      <c r="A256" t="s">
        <v>11</v>
      </c>
    </row>
    <row r="257" spans="1:1">
      <c r="A257" t="s">
        <v>4</v>
      </c>
    </row>
    <row r="258" spans="1:1">
      <c r="A258" t="s">
        <v>5</v>
      </c>
    </row>
    <row r="259" spans="1:1">
      <c r="A259" t="s">
        <v>6</v>
      </c>
    </row>
    <row r="260" spans="1:1">
      <c r="A260" t="s">
        <v>96</v>
      </c>
    </row>
    <row r="261" spans="1:1">
      <c r="A261" t="s">
        <v>53</v>
      </c>
    </row>
    <row r="262" spans="1:1">
      <c r="A262" t="s">
        <v>97</v>
      </c>
    </row>
    <row r="263" spans="1:1">
      <c r="A263" t="s">
        <v>98</v>
      </c>
    </row>
    <row r="264" spans="1:1">
      <c r="A264" t="s">
        <v>72</v>
      </c>
    </row>
    <row r="265" spans="1:1">
      <c r="A265" t="s">
        <v>5</v>
      </c>
    </row>
    <row r="266" spans="1:1">
      <c r="A266" t="s">
        <v>6</v>
      </c>
    </row>
    <row r="267" spans="1:1">
      <c r="A267" t="s">
        <v>99</v>
      </c>
    </row>
    <row r="268" spans="1:1">
      <c r="A268" t="s">
        <v>69</v>
      </c>
    </row>
    <row r="269" spans="1:1">
      <c r="A269" t="s">
        <v>86</v>
      </c>
    </row>
    <row r="270" spans="1:1">
      <c r="A270" t="s">
        <v>87</v>
      </c>
    </row>
    <row r="271" spans="1:1">
      <c r="A271" t="s">
        <v>72</v>
      </c>
    </row>
    <row r="272" spans="1:1">
      <c r="A272" t="s">
        <v>5</v>
      </c>
    </row>
    <row r="273" spans="1:1">
      <c r="A273" t="s">
        <v>6</v>
      </c>
    </row>
    <row r="274" spans="1:1">
      <c r="A274" t="s">
        <v>100</v>
      </c>
    </row>
    <row r="275" spans="1:1">
      <c r="A275" t="s">
        <v>101</v>
      </c>
    </row>
    <row r="276" spans="1:1">
      <c r="A276" t="s">
        <v>102</v>
      </c>
    </row>
    <row r="277" spans="1:1">
      <c r="A277" t="s">
        <v>103</v>
      </c>
    </row>
    <row r="278" spans="1:1">
      <c r="A278" t="s">
        <v>72</v>
      </c>
    </row>
    <row r="279" spans="1:1">
      <c r="A279" t="s">
        <v>5</v>
      </c>
    </row>
    <row r="280" spans="1:1">
      <c r="A280" t="s">
        <v>6</v>
      </c>
    </row>
    <row r="281" spans="1:1">
      <c r="A281" t="s">
        <v>104</v>
      </c>
    </row>
    <row r="282" spans="1:1">
      <c r="A282" t="s">
        <v>105</v>
      </c>
    </row>
    <row r="283" spans="1:1">
      <c r="A283" t="s">
        <v>10</v>
      </c>
    </row>
    <row r="284" spans="1:1">
      <c r="A284" t="s">
        <v>11</v>
      </c>
    </row>
    <row r="285" spans="1:1">
      <c r="A285" t="s">
        <v>4</v>
      </c>
    </row>
    <row r="286" spans="1:1">
      <c r="A286" t="s">
        <v>5</v>
      </c>
    </row>
    <row r="287" spans="1:1">
      <c r="A287" t="s">
        <v>6</v>
      </c>
    </row>
    <row r="288" spans="1:1">
      <c r="A288" t="s">
        <v>106</v>
      </c>
    </row>
    <row r="289" spans="1:1">
      <c r="A289" t="s">
        <v>53</v>
      </c>
    </row>
    <row r="290" spans="1:1">
      <c r="A290" t="s">
        <v>80</v>
      </c>
    </row>
    <row r="291" spans="1:1">
      <c r="A291" t="s">
        <v>81</v>
      </c>
    </row>
    <row r="292" spans="1:1">
      <c r="A292" t="s">
        <v>72</v>
      </c>
    </row>
    <row r="293" spans="1:1">
      <c r="A293" t="s">
        <v>5</v>
      </c>
    </row>
    <row r="294" spans="1:1">
      <c r="A294" t="s">
        <v>6</v>
      </c>
    </row>
    <row r="295" spans="1:1">
      <c r="A295" t="s">
        <v>107</v>
      </c>
    </row>
    <row r="296" spans="1:1">
      <c r="A296" t="s">
        <v>108</v>
      </c>
    </row>
    <row r="297" spans="1:1">
      <c r="A297" t="s">
        <v>20</v>
      </c>
    </row>
    <row r="298" spans="1:1">
      <c r="A298" t="s">
        <v>21</v>
      </c>
    </row>
    <row r="299" spans="1:1">
      <c r="A299" t="s">
        <v>4</v>
      </c>
    </row>
    <row r="300" spans="1:1">
      <c r="A300" t="s">
        <v>5</v>
      </c>
    </row>
    <row r="301" spans="1:1">
      <c r="A301" t="s">
        <v>6</v>
      </c>
    </row>
    <row r="302" spans="1:1">
      <c r="A302" t="s">
        <v>109</v>
      </c>
    </row>
    <row r="303" spans="1:1">
      <c r="A303" t="s">
        <v>69</v>
      </c>
    </row>
    <row r="304" spans="1:1">
      <c r="A304" t="s">
        <v>110</v>
      </c>
    </row>
    <row r="305" spans="1:1">
      <c r="A305" t="s">
        <v>111</v>
      </c>
    </row>
    <row r="306" spans="1:1">
      <c r="A306" t="s">
        <v>72</v>
      </c>
    </row>
    <row r="307" spans="1:1">
      <c r="A307" t="s">
        <v>5</v>
      </c>
    </row>
    <row r="308" spans="1:1">
      <c r="A308" t="s">
        <v>6</v>
      </c>
    </row>
    <row r="309" spans="1:1">
      <c r="A309" t="s">
        <v>112</v>
      </c>
    </row>
    <row r="310" spans="1:1">
      <c r="A310" t="s">
        <v>53</v>
      </c>
    </row>
    <row r="311" spans="1:1">
      <c r="A311" t="s">
        <v>113</v>
      </c>
    </row>
    <row r="312" spans="1:1">
      <c r="A312" t="s">
        <v>114</v>
      </c>
    </row>
    <row r="313" spans="1:1">
      <c r="A313" t="s">
        <v>33</v>
      </c>
    </row>
    <row r="314" spans="1:1">
      <c r="A314" t="s">
        <v>5</v>
      </c>
    </row>
    <row r="315" spans="1:1">
      <c r="A315" t="s">
        <v>6</v>
      </c>
    </row>
    <row r="316" spans="1:1">
      <c r="A316" t="s">
        <v>115</v>
      </c>
    </row>
    <row r="317" spans="1:1">
      <c r="A317" t="s">
        <v>116</v>
      </c>
    </row>
    <row r="318" spans="1:1">
      <c r="A318" t="s">
        <v>117</v>
      </c>
    </row>
    <row r="319" spans="1:1">
      <c r="A319" t="s">
        <v>118</v>
      </c>
    </row>
    <row r="320" spans="1:1">
      <c r="A320" t="s">
        <v>4</v>
      </c>
    </row>
    <row r="321" spans="1:1">
      <c r="A321" t="s">
        <v>5</v>
      </c>
    </row>
    <row r="322" spans="1:1">
      <c r="A322" t="s">
        <v>119</v>
      </c>
    </row>
    <row r="323" spans="1:1">
      <c r="A323" t="s">
        <v>120</v>
      </c>
    </row>
    <row r="324" spans="1:1">
      <c r="A324" t="s">
        <v>69</v>
      </c>
    </row>
    <row r="325" spans="1:1">
      <c r="A325" t="s">
        <v>86</v>
      </c>
    </row>
    <row r="326" spans="1:1">
      <c r="A326" t="s">
        <v>87</v>
      </c>
    </row>
    <row r="327" spans="1:1">
      <c r="A327" t="s">
        <v>72</v>
      </c>
    </row>
    <row r="328" spans="1:1">
      <c r="A328" t="s">
        <v>5</v>
      </c>
    </row>
    <row r="329" spans="1:1">
      <c r="A329" t="s">
        <v>6</v>
      </c>
    </row>
    <row r="330" spans="1:1">
      <c r="A330" t="s">
        <v>121</v>
      </c>
    </row>
    <row r="331" spans="1:1">
      <c r="A331" t="s">
        <v>122</v>
      </c>
    </row>
    <row r="332" spans="1:1">
      <c r="A332" t="s">
        <v>2</v>
      </c>
    </row>
    <row r="333" spans="1:1">
      <c r="A333" t="s">
        <v>3</v>
      </c>
    </row>
    <row r="334" spans="1:1">
      <c r="A334" t="s">
        <v>4</v>
      </c>
    </row>
    <row r="335" spans="1:1">
      <c r="A335" t="s">
        <v>5</v>
      </c>
    </row>
    <row r="336" spans="1:1">
      <c r="A336" t="s">
        <v>6</v>
      </c>
    </row>
    <row r="337" spans="1:1">
      <c r="A337" t="s">
        <v>123</v>
      </c>
    </row>
    <row r="338" spans="1:1">
      <c r="A338" t="s">
        <v>89</v>
      </c>
    </row>
    <row r="339" spans="1:1">
      <c r="A339" t="s">
        <v>90</v>
      </c>
    </row>
    <row r="340" spans="1:1">
      <c r="A340" t="s">
        <v>91</v>
      </c>
    </row>
    <row r="341" spans="1:1">
      <c r="A341" t="s">
        <v>33</v>
      </c>
    </row>
    <row r="342" spans="1:1">
      <c r="A342" t="s">
        <v>5</v>
      </c>
    </row>
    <row r="343" spans="1:1">
      <c r="A343" t="s">
        <v>6</v>
      </c>
    </row>
    <row r="344" spans="1:1">
      <c r="A344" t="s">
        <v>124</v>
      </c>
    </row>
    <row r="345" spans="1:1">
      <c r="A345" t="s">
        <v>125</v>
      </c>
    </row>
    <row r="346" spans="1:1">
      <c r="A346" t="s">
        <v>10</v>
      </c>
    </row>
    <row r="347" spans="1:1">
      <c r="A347" t="s">
        <v>11</v>
      </c>
    </row>
    <row r="348" spans="1:1">
      <c r="A348" t="s">
        <v>4</v>
      </c>
    </row>
    <row r="349" spans="1:1">
      <c r="A349" t="s">
        <v>5</v>
      </c>
    </row>
    <row r="350" spans="1:1">
      <c r="A350" t="s">
        <v>6</v>
      </c>
    </row>
    <row r="351" spans="1:1">
      <c r="A351" t="s">
        <v>126</v>
      </c>
    </row>
    <row r="352" spans="1:1">
      <c r="A352" t="s">
        <v>127</v>
      </c>
    </row>
    <row r="353" spans="1:1">
      <c r="A353" t="s">
        <v>128</v>
      </c>
    </row>
    <row r="354" spans="1:1">
      <c r="A354" t="s">
        <v>129</v>
      </c>
    </row>
    <row r="355" spans="1:1">
      <c r="A355" t="s">
        <v>72</v>
      </c>
    </row>
    <row r="356" spans="1:1">
      <c r="A356" t="s">
        <v>5</v>
      </c>
    </row>
    <row r="357" spans="1:1">
      <c r="A357" t="s">
        <v>6</v>
      </c>
    </row>
    <row r="358" spans="1:1">
      <c r="A358" t="s">
        <v>130</v>
      </c>
    </row>
    <row r="359" spans="1:1">
      <c r="A359" t="s">
        <v>53</v>
      </c>
    </row>
    <row r="360" spans="1:1">
      <c r="A360" t="s">
        <v>90</v>
      </c>
    </row>
    <row r="361" spans="1:1">
      <c r="A361" t="s">
        <v>91</v>
      </c>
    </row>
    <row r="362" spans="1:1">
      <c r="A362" t="s">
        <v>33</v>
      </c>
    </row>
    <row r="363" spans="1:1">
      <c r="A363" t="s">
        <v>5</v>
      </c>
    </row>
    <row r="364" spans="1:1">
      <c r="A364" t="s">
        <v>6</v>
      </c>
    </row>
    <row r="365" spans="1:1">
      <c r="A365" t="s">
        <v>131</v>
      </c>
    </row>
    <row r="366" spans="1:1">
      <c r="A366" t="s">
        <v>74</v>
      </c>
    </row>
    <row r="367" spans="1:1">
      <c r="A367" t="s">
        <v>132</v>
      </c>
    </row>
    <row r="368" spans="1:1">
      <c r="A368" t="s">
        <v>133</v>
      </c>
    </row>
    <row r="369" spans="1:1">
      <c r="A369" t="s">
        <v>33</v>
      </c>
    </row>
    <row r="370" spans="1:1">
      <c r="A370" t="s">
        <v>5</v>
      </c>
    </row>
    <row r="371" spans="1:1">
      <c r="A371" t="s">
        <v>6</v>
      </c>
    </row>
    <row r="372" spans="1:1">
      <c r="A372" t="s">
        <v>134</v>
      </c>
    </row>
    <row r="373" spans="1:1">
      <c r="A373" t="s">
        <v>69</v>
      </c>
    </row>
    <row r="374" spans="1:1">
      <c r="A374" t="s">
        <v>110</v>
      </c>
    </row>
    <row r="375" spans="1:1">
      <c r="A375" t="s">
        <v>111</v>
      </c>
    </row>
    <row r="376" spans="1:1">
      <c r="A376" t="s">
        <v>72</v>
      </c>
    </row>
    <row r="377" spans="1:1">
      <c r="A377" t="s">
        <v>5</v>
      </c>
    </row>
    <row r="378" spans="1:1">
      <c r="A378" t="s">
        <v>6</v>
      </c>
    </row>
    <row r="379" spans="1:1">
      <c r="A379" t="s">
        <v>135</v>
      </c>
    </row>
    <row r="380" spans="1:1">
      <c r="A380" t="s">
        <v>53</v>
      </c>
    </row>
    <row r="381" spans="1:1">
      <c r="A381" t="s">
        <v>113</v>
      </c>
    </row>
    <row r="382" spans="1:1">
      <c r="A382" t="s">
        <v>114</v>
      </c>
    </row>
    <row r="383" spans="1:1">
      <c r="A383" t="s">
        <v>33</v>
      </c>
    </row>
    <row r="384" spans="1:1">
      <c r="A384" t="s">
        <v>5</v>
      </c>
    </row>
    <row r="385" spans="1:1">
      <c r="A385" t="s">
        <v>6</v>
      </c>
    </row>
    <row r="386" spans="1:1">
      <c r="A386" t="s">
        <v>136</v>
      </c>
    </row>
    <row r="387" spans="1:1">
      <c r="A387" t="s">
        <v>69</v>
      </c>
    </row>
    <row r="388" spans="1:1">
      <c r="A388" t="s">
        <v>86</v>
      </c>
    </row>
    <row r="389" spans="1:1">
      <c r="A389" t="s">
        <v>87</v>
      </c>
    </row>
    <row r="390" spans="1:1">
      <c r="A390" t="s">
        <v>72</v>
      </c>
    </row>
    <row r="391" spans="1:1">
      <c r="A391" t="s">
        <v>5</v>
      </c>
    </row>
    <row r="392" spans="1:1">
      <c r="A392" t="s">
        <v>6</v>
      </c>
    </row>
    <row r="393" spans="1:1">
      <c r="A393" t="s">
        <v>137</v>
      </c>
    </row>
    <row r="394" spans="1:1">
      <c r="A394" t="s">
        <v>89</v>
      </c>
    </row>
    <row r="395" spans="1:1">
      <c r="A395" t="s">
        <v>83</v>
      </c>
    </row>
    <row r="396" spans="1:1">
      <c r="A396" t="s">
        <v>84</v>
      </c>
    </row>
    <row r="397" spans="1:1">
      <c r="A397" t="s">
        <v>33</v>
      </c>
    </row>
    <row r="398" spans="1:1">
      <c r="A398" t="s">
        <v>5</v>
      </c>
    </row>
    <row r="399" spans="1:1">
      <c r="A399" t="s">
        <v>6</v>
      </c>
    </row>
    <row r="400" spans="1:1">
      <c r="A400" t="s">
        <v>138</v>
      </c>
    </row>
    <row r="401" spans="1:1">
      <c r="A401" t="s">
        <v>69</v>
      </c>
    </row>
    <row r="402" spans="1:1">
      <c r="A402" t="s">
        <v>97</v>
      </c>
    </row>
    <row r="403" spans="1:1">
      <c r="A403" t="s">
        <v>98</v>
      </c>
    </row>
    <row r="404" spans="1:1">
      <c r="A404" t="s">
        <v>72</v>
      </c>
    </row>
    <row r="405" spans="1:1">
      <c r="A405" t="s">
        <v>5</v>
      </c>
    </row>
    <row r="406" spans="1:1">
      <c r="A406" t="s">
        <v>6</v>
      </c>
    </row>
    <row r="407" spans="1:1">
      <c r="A407" t="s">
        <v>139</v>
      </c>
    </row>
    <row r="408" spans="1:1">
      <c r="A408" t="s">
        <v>127</v>
      </c>
    </row>
    <row r="409" spans="1:1">
      <c r="A409" t="s">
        <v>140</v>
      </c>
    </row>
    <row r="410" spans="1:1">
      <c r="A410" t="s">
        <v>141</v>
      </c>
    </row>
    <row r="411" spans="1:1">
      <c r="A411" t="s">
        <v>33</v>
      </c>
    </row>
    <row r="412" spans="1:1">
      <c r="A412" t="s">
        <v>5</v>
      </c>
    </row>
    <row r="413" spans="1:1">
      <c r="A413" t="s">
        <v>6</v>
      </c>
    </row>
    <row r="414" spans="1:1">
      <c r="A414" t="s">
        <v>142</v>
      </c>
    </row>
    <row r="415" spans="1:1">
      <c r="A415" t="s">
        <v>143</v>
      </c>
    </row>
    <row r="416" spans="1:1">
      <c r="A416" t="s">
        <v>144</v>
      </c>
    </row>
    <row r="417" spans="1:1">
      <c r="A417" t="s">
        <v>145</v>
      </c>
    </row>
    <row r="418" spans="1:1">
      <c r="A418" t="s">
        <v>33</v>
      </c>
    </row>
    <row r="419" spans="1:1">
      <c r="A419" t="s">
        <v>5</v>
      </c>
    </row>
    <row r="420" spans="1:1">
      <c r="A420" t="s">
        <v>6</v>
      </c>
    </row>
    <row r="421" spans="1:1">
      <c r="A421" t="s">
        <v>146</v>
      </c>
    </row>
    <row r="422" spans="1:1">
      <c r="A422" t="s">
        <v>74</v>
      </c>
    </row>
    <row r="423" spans="1:1">
      <c r="A423" t="s">
        <v>54</v>
      </c>
    </row>
    <row r="424" spans="1:1">
      <c r="A424" t="s">
        <v>55</v>
      </c>
    </row>
    <row r="425" spans="1:1">
      <c r="A425" t="s">
        <v>33</v>
      </c>
    </row>
    <row r="426" spans="1:1">
      <c r="A426" t="s">
        <v>5</v>
      </c>
    </row>
    <row r="427" spans="1:1">
      <c r="A427" t="s">
        <v>6</v>
      </c>
    </row>
    <row r="428" spans="1:1">
      <c r="A428" t="s">
        <v>147</v>
      </c>
    </row>
    <row r="429" spans="1:1">
      <c r="A429" t="s">
        <v>148</v>
      </c>
    </row>
    <row r="430" spans="1:1">
      <c r="A430" t="s">
        <v>10</v>
      </c>
    </row>
    <row r="431" spans="1:1">
      <c r="A431" t="s">
        <v>11</v>
      </c>
    </row>
    <row r="432" spans="1:1">
      <c r="A432" t="s">
        <v>4</v>
      </c>
    </row>
    <row r="433" spans="1:1">
      <c r="A433" t="s">
        <v>5</v>
      </c>
    </row>
    <row r="434" spans="1:1">
      <c r="A434" t="s">
        <v>6</v>
      </c>
    </row>
    <row r="435" spans="1:1">
      <c r="A435" t="s">
        <v>149</v>
      </c>
    </row>
    <row r="436" spans="1:1">
      <c r="A436" t="s">
        <v>69</v>
      </c>
    </row>
    <row r="437" spans="1:1">
      <c r="A437" t="s">
        <v>150</v>
      </c>
    </row>
    <row r="438" spans="1:1">
      <c r="A438" t="s">
        <v>151</v>
      </c>
    </row>
    <row r="439" spans="1:1">
      <c r="A439" t="s">
        <v>72</v>
      </c>
    </row>
    <row r="440" spans="1:1">
      <c r="A440" t="s">
        <v>5</v>
      </c>
    </row>
    <row r="441" spans="1:1">
      <c r="A441" t="s">
        <v>6</v>
      </c>
    </row>
    <row r="442" spans="1:1">
      <c r="A442" t="s">
        <v>152</v>
      </c>
    </row>
    <row r="443" spans="1:1">
      <c r="A443" t="s">
        <v>53</v>
      </c>
    </row>
    <row r="444" spans="1:1">
      <c r="A444" t="s">
        <v>80</v>
      </c>
    </row>
    <row r="445" spans="1:1">
      <c r="A445" t="s">
        <v>81</v>
      </c>
    </row>
    <row r="446" spans="1:1">
      <c r="A446" t="s">
        <v>72</v>
      </c>
    </row>
    <row r="447" spans="1:1">
      <c r="A447" t="s">
        <v>5</v>
      </c>
    </row>
    <row r="448" spans="1:1">
      <c r="A448" t="s">
        <v>6</v>
      </c>
    </row>
    <row r="449" spans="1:1">
      <c r="A449" t="s">
        <v>153</v>
      </c>
    </row>
    <row r="450" spans="1:1">
      <c r="A450" t="s">
        <v>154</v>
      </c>
    </row>
    <row r="451" spans="1:1">
      <c r="A451" t="s">
        <v>155</v>
      </c>
    </row>
    <row r="452" spans="1:1">
      <c r="A452" t="s">
        <v>156</v>
      </c>
    </row>
    <row r="453" spans="1:1">
      <c r="A453" t="s">
        <v>33</v>
      </c>
    </row>
    <row r="454" spans="1:1">
      <c r="A454" t="s">
        <v>5</v>
      </c>
    </row>
    <row r="455" spans="1:1">
      <c r="A455" t="s">
        <v>6</v>
      </c>
    </row>
    <row r="456" spans="1:1">
      <c r="A456" t="s">
        <v>157</v>
      </c>
    </row>
    <row r="457" spans="1:1">
      <c r="A457" t="s">
        <v>69</v>
      </c>
    </row>
    <row r="458" spans="1:1">
      <c r="A458" t="s">
        <v>110</v>
      </c>
    </row>
    <row r="459" spans="1:1">
      <c r="A459" t="s">
        <v>111</v>
      </c>
    </row>
    <row r="460" spans="1:1">
      <c r="A460" t="s">
        <v>72</v>
      </c>
    </row>
    <row r="461" spans="1:1">
      <c r="A461" t="s">
        <v>5</v>
      </c>
    </row>
    <row r="462" spans="1:1">
      <c r="A462" t="s">
        <v>6</v>
      </c>
    </row>
    <row r="463" spans="1:1">
      <c r="A463" t="s">
        <v>158</v>
      </c>
    </row>
    <row r="464" spans="1:1">
      <c r="A464" t="s">
        <v>159</v>
      </c>
    </row>
    <row r="465" spans="1:1">
      <c r="A465" t="s">
        <v>160</v>
      </c>
    </row>
    <row r="466" spans="1:1">
      <c r="A466" t="s">
        <v>161</v>
      </c>
    </row>
    <row r="467" spans="1:1">
      <c r="A467" t="s">
        <v>4</v>
      </c>
    </row>
    <row r="468" spans="1:1">
      <c r="A468" t="s">
        <v>5</v>
      </c>
    </row>
    <row r="469" spans="1:1">
      <c r="A469" t="s">
        <v>6</v>
      </c>
    </row>
    <row r="470" spans="1:1">
      <c r="A470" t="s">
        <v>162</v>
      </c>
    </row>
    <row r="471" spans="1:1">
      <c r="A471" t="s">
        <v>69</v>
      </c>
    </row>
    <row r="472" spans="1:1">
      <c r="A472" t="s">
        <v>86</v>
      </c>
    </row>
    <row r="473" spans="1:1">
      <c r="A473" t="s">
        <v>87</v>
      </c>
    </row>
    <row r="474" spans="1:1">
      <c r="A474" t="s">
        <v>72</v>
      </c>
    </row>
    <row r="475" spans="1:1">
      <c r="A475" t="s">
        <v>5</v>
      </c>
    </row>
    <row r="476" spans="1:1">
      <c r="A476" t="s">
        <v>6</v>
      </c>
    </row>
    <row r="477" spans="1:1">
      <c r="A477" t="s">
        <v>163</v>
      </c>
    </row>
    <row r="478" spans="1:1">
      <c r="A478" t="s">
        <v>89</v>
      </c>
    </row>
    <row r="479" spans="1:1">
      <c r="A479" t="s">
        <v>164</v>
      </c>
    </row>
    <row r="480" spans="1:1">
      <c r="A480" t="s">
        <v>165</v>
      </c>
    </row>
    <row r="481" spans="1:1">
      <c r="A481" t="s">
        <v>4</v>
      </c>
    </row>
    <row r="482" spans="1:1">
      <c r="A482" t="s">
        <v>5</v>
      </c>
    </row>
    <row r="483" spans="1:1">
      <c r="A483" t="s">
        <v>6</v>
      </c>
    </row>
    <row r="484" spans="1:1">
      <c r="A484" t="s">
        <v>166</v>
      </c>
    </row>
    <row r="485" spans="1:1">
      <c r="A485" t="s">
        <v>89</v>
      </c>
    </row>
    <row r="486" spans="1:1">
      <c r="A486" t="s">
        <v>90</v>
      </c>
    </row>
    <row r="487" spans="1:1">
      <c r="A487" t="s">
        <v>91</v>
      </c>
    </row>
    <row r="488" spans="1:1">
      <c r="A488" t="s">
        <v>33</v>
      </c>
    </row>
    <row r="489" spans="1:1">
      <c r="A489" t="s">
        <v>5</v>
      </c>
    </row>
    <row r="490" spans="1:1">
      <c r="A490" t="s">
        <v>6</v>
      </c>
    </row>
    <row r="491" spans="1:1">
      <c r="A491" t="s">
        <v>167</v>
      </c>
    </row>
    <row r="492" spans="1:1">
      <c r="A492" t="s">
        <v>89</v>
      </c>
    </row>
    <row r="493" spans="1:1">
      <c r="A493" t="s">
        <v>102</v>
      </c>
    </row>
    <row r="494" spans="1:1">
      <c r="A494" t="s">
        <v>103</v>
      </c>
    </row>
    <row r="495" spans="1:1">
      <c r="A495" t="s">
        <v>72</v>
      </c>
    </row>
    <row r="496" spans="1:1">
      <c r="A496" t="s">
        <v>5</v>
      </c>
    </row>
    <row r="497" spans="1:1">
      <c r="A497" t="s">
        <v>6</v>
      </c>
    </row>
    <row r="498" spans="1:1">
      <c r="A498" t="s">
        <v>168</v>
      </c>
    </row>
    <row r="499" spans="1:1">
      <c r="A499" t="s">
        <v>169</v>
      </c>
    </row>
    <row r="500" spans="1:1">
      <c r="A500" t="s">
        <v>10</v>
      </c>
    </row>
    <row r="501" spans="1:1">
      <c r="A501" t="s">
        <v>11</v>
      </c>
    </row>
    <row r="502" spans="1:1">
      <c r="A502" t="s">
        <v>4</v>
      </c>
    </row>
    <row r="503" spans="1:1">
      <c r="A503" t="s">
        <v>5</v>
      </c>
    </row>
    <row r="504" spans="1:1">
      <c r="A504" t="s">
        <v>6</v>
      </c>
    </row>
    <row r="505" spans="1:1">
      <c r="A505" t="s">
        <v>170</v>
      </c>
    </row>
    <row r="506" spans="1:1">
      <c r="A506" t="s">
        <v>69</v>
      </c>
    </row>
    <row r="507" spans="1:1">
      <c r="A507" t="s">
        <v>164</v>
      </c>
    </row>
    <row r="508" spans="1:1">
      <c r="A508" t="s">
        <v>165</v>
      </c>
    </row>
    <row r="509" spans="1:1">
      <c r="A509" t="s">
        <v>33</v>
      </c>
    </row>
    <row r="510" spans="1:1">
      <c r="A510" t="s">
        <v>5</v>
      </c>
    </row>
    <row r="511" spans="1:1">
      <c r="A511" t="s">
        <v>6</v>
      </c>
    </row>
    <row r="512" spans="1:1">
      <c r="A512" t="s">
        <v>171</v>
      </c>
    </row>
    <row r="513" spans="1:1">
      <c r="A513" t="s">
        <v>53</v>
      </c>
    </row>
    <row r="514" spans="1:1">
      <c r="A514" t="s">
        <v>97</v>
      </c>
    </row>
    <row r="515" spans="1:1">
      <c r="A515" t="s">
        <v>98</v>
      </c>
    </row>
    <row r="516" spans="1:1">
      <c r="A516" t="s">
        <v>72</v>
      </c>
    </row>
    <row r="517" spans="1:1">
      <c r="A517" t="s">
        <v>5</v>
      </c>
    </row>
    <row r="518" spans="1:1">
      <c r="A518" t="s">
        <v>6</v>
      </c>
    </row>
    <row r="519" spans="1:1">
      <c r="A519" t="s">
        <v>172</v>
      </c>
    </row>
    <row r="520" spans="1:1">
      <c r="A520" t="s">
        <v>89</v>
      </c>
    </row>
    <row r="521" spans="1:1">
      <c r="A521" t="s">
        <v>83</v>
      </c>
    </row>
    <row r="522" spans="1:1">
      <c r="A522" t="s">
        <v>84</v>
      </c>
    </row>
    <row r="523" spans="1:1">
      <c r="A523" t="s">
        <v>33</v>
      </c>
    </row>
    <row r="524" spans="1:1">
      <c r="A524" t="s">
        <v>5</v>
      </c>
    </row>
    <row r="525" spans="1:1">
      <c r="A525" t="s">
        <v>6</v>
      </c>
    </row>
    <row r="526" spans="1:1">
      <c r="A526" t="s">
        <v>173</v>
      </c>
    </row>
    <row r="527" spans="1:1">
      <c r="A527" t="s">
        <v>69</v>
      </c>
    </row>
    <row r="528" spans="1:1">
      <c r="A528" t="s">
        <v>110</v>
      </c>
    </row>
    <row r="529" spans="1:1">
      <c r="A529" t="s">
        <v>111</v>
      </c>
    </row>
    <row r="530" spans="1:1">
      <c r="A530" t="s">
        <v>72</v>
      </c>
    </row>
    <row r="531" spans="1:1">
      <c r="A531" t="s">
        <v>5</v>
      </c>
    </row>
    <row r="532" spans="1:1">
      <c r="A532" t="s">
        <v>6</v>
      </c>
    </row>
    <row r="533" spans="1:1">
      <c r="A533" t="s">
        <v>174</v>
      </c>
    </row>
    <row r="534" spans="1:1">
      <c r="A534" t="s">
        <v>74</v>
      </c>
    </row>
    <row r="535" spans="1:1">
      <c r="A535" t="s">
        <v>144</v>
      </c>
    </row>
    <row r="536" spans="1:1">
      <c r="A536" t="s">
        <v>145</v>
      </c>
    </row>
    <row r="537" spans="1:1">
      <c r="A537" t="s">
        <v>33</v>
      </c>
    </row>
    <row r="538" spans="1:1">
      <c r="A538" t="s">
        <v>5</v>
      </c>
    </row>
    <row r="539" spans="1:1">
      <c r="A539" t="s">
        <v>6</v>
      </c>
    </row>
    <row r="540" spans="1:1">
      <c r="A540" t="s">
        <v>175</v>
      </c>
    </row>
    <row r="541" spans="1:1">
      <c r="A541" t="s">
        <v>53</v>
      </c>
    </row>
    <row r="542" spans="1:1">
      <c r="A542" t="s">
        <v>83</v>
      </c>
    </row>
    <row r="543" spans="1:1">
      <c r="A543" t="s">
        <v>84</v>
      </c>
    </row>
    <row r="544" spans="1:1">
      <c r="A544" t="s">
        <v>33</v>
      </c>
    </row>
    <row r="545" spans="1:1">
      <c r="A545" t="s">
        <v>5</v>
      </c>
    </row>
    <row r="546" spans="1:1">
      <c r="A546" t="s">
        <v>6</v>
      </c>
    </row>
    <row r="547" spans="1:1">
      <c r="A547" t="s">
        <v>176</v>
      </c>
    </row>
    <row r="548" spans="1:1">
      <c r="A548" t="s">
        <v>69</v>
      </c>
    </row>
    <row r="549" spans="1:1">
      <c r="A549" t="s">
        <v>86</v>
      </c>
    </row>
    <row r="550" spans="1:1">
      <c r="A550" t="s">
        <v>87</v>
      </c>
    </row>
    <row r="551" spans="1:1">
      <c r="A551" t="s">
        <v>72</v>
      </c>
    </row>
    <row r="552" spans="1:1">
      <c r="A552" t="s">
        <v>5</v>
      </c>
    </row>
    <row r="553" spans="1:1">
      <c r="A553" t="s">
        <v>6</v>
      </c>
    </row>
    <row r="554" spans="1:1">
      <c r="A554" t="s">
        <v>177</v>
      </c>
    </row>
    <row r="555" spans="1:1">
      <c r="A555" t="s">
        <v>1</v>
      </c>
    </row>
    <row r="556" spans="1:1">
      <c r="A556" t="s">
        <v>2</v>
      </c>
    </row>
    <row r="557" spans="1:1">
      <c r="A557" t="s">
        <v>3</v>
      </c>
    </row>
    <row r="558" spans="1:1">
      <c r="A558" t="s">
        <v>4</v>
      </c>
    </row>
    <row r="559" spans="1:1">
      <c r="A559" t="s">
        <v>5</v>
      </c>
    </row>
    <row r="560" spans="1:1">
      <c r="A560" t="s">
        <v>6</v>
      </c>
    </row>
    <row r="561" spans="1:1">
      <c r="A561" t="s">
        <v>178</v>
      </c>
    </row>
    <row r="562" spans="1:1">
      <c r="A562" t="s">
        <v>127</v>
      </c>
    </row>
    <row r="563" spans="1:1">
      <c r="A563" t="s">
        <v>128</v>
      </c>
    </row>
    <row r="564" spans="1:1">
      <c r="A564" t="s">
        <v>129</v>
      </c>
    </row>
    <row r="565" spans="1:1">
      <c r="A565" t="s">
        <v>72</v>
      </c>
    </row>
    <row r="566" spans="1:1">
      <c r="A566" t="s">
        <v>5</v>
      </c>
    </row>
    <row r="567" spans="1:1">
      <c r="A567" t="s">
        <v>6</v>
      </c>
    </row>
    <row r="568" spans="1:1">
      <c r="A568" t="s">
        <v>179</v>
      </c>
    </row>
    <row r="569" spans="1:1">
      <c r="A569" t="s">
        <v>69</v>
      </c>
    </row>
    <row r="570" spans="1:1">
      <c r="A570" t="s">
        <v>150</v>
      </c>
    </row>
    <row r="571" spans="1:1">
      <c r="A571" t="s">
        <v>180</v>
      </c>
    </row>
    <row r="572" spans="1:1">
      <c r="A572" t="s">
        <v>72</v>
      </c>
    </row>
    <row r="573" spans="1:1">
      <c r="A573" t="s">
        <v>5</v>
      </c>
    </row>
    <row r="574" spans="1:1">
      <c r="A574" t="s">
        <v>181</v>
      </c>
    </row>
    <row r="575" spans="1:1">
      <c r="A575" t="s">
        <v>182</v>
      </c>
    </row>
    <row r="576" spans="1:1">
      <c r="A576" t="s">
        <v>53</v>
      </c>
    </row>
    <row r="577" spans="1:1">
      <c r="A577" t="s">
        <v>80</v>
      </c>
    </row>
    <row r="578" spans="1:1">
      <c r="A578" t="s">
        <v>81</v>
      </c>
    </row>
    <row r="579" spans="1:1">
      <c r="A579" t="s">
        <v>72</v>
      </c>
    </row>
    <row r="580" spans="1:1">
      <c r="A580" t="s">
        <v>5</v>
      </c>
    </row>
    <row r="581" spans="1:1">
      <c r="A581" t="s">
        <v>6</v>
      </c>
    </row>
    <row r="582" spans="1:1">
      <c r="A582" t="s">
        <v>183</v>
      </c>
    </row>
    <row r="583" spans="1:1">
      <c r="A583" t="s">
        <v>53</v>
      </c>
    </row>
    <row r="584" spans="1:1">
      <c r="A584" t="s">
        <v>184</v>
      </c>
    </row>
    <row r="585" spans="1:1">
      <c r="A585" t="s">
        <v>185</v>
      </c>
    </row>
    <row r="586" spans="1:1">
      <c r="A586" t="s">
        <v>33</v>
      </c>
    </row>
    <row r="587" spans="1:1">
      <c r="A587" t="s">
        <v>5</v>
      </c>
    </row>
    <row r="588" spans="1:1">
      <c r="A588" t="s">
        <v>6</v>
      </c>
    </row>
    <row r="589" spans="1:1">
      <c r="A589" t="s">
        <v>186</v>
      </c>
    </row>
    <row r="590" spans="1:1">
      <c r="A590" t="s">
        <v>69</v>
      </c>
    </row>
    <row r="591" spans="1:1">
      <c r="A591" t="s">
        <v>110</v>
      </c>
    </row>
    <row r="592" spans="1:1">
      <c r="A592" t="s">
        <v>111</v>
      </c>
    </row>
    <row r="593" spans="1:1">
      <c r="A593" t="s">
        <v>72</v>
      </c>
    </row>
    <row r="594" spans="1:1">
      <c r="A594" t="s">
        <v>5</v>
      </c>
    </row>
    <row r="595" spans="1:1">
      <c r="A595" t="s">
        <v>6</v>
      </c>
    </row>
    <row r="596" spans="1:1">
      <c r="A596" t="s">
        <v>187</v>
      </c>
    </row>
    <row r="597" spans="1:1">
      <c r="A597" t="s">
        <v>69</v>
      </c>
    </row>
    <row r="598" spans="1:1">
      <c r="A598" t="s">
        <v>86</v>
      </c>
    </row>
    <row r="599" spans="1:1">
      <c r="A599" t="s">
        <v>87</v>
      </c>
    </row>
    <row r="600" spans="1:1">
      <c r="A600" t="s">
        <v>72</v>
      </c>
    </row>
    <row r="601" spans="1:1">
      <c r="A601" t="s">
        <v>5</v>
      </c>
    </row>
    <row r="602" spans="1:1">
      <c r="A602" t="s">
        <v>6</v>
      </c>
    </row>
    <row r="603" spans="1:1">
      <c r="A603" t="s">
        <v>188</v>
      </c>
    </row>
    <row r="604" spans="1:1">
      <c r="A604" t="s">
        <v>1</v>
      </c>
    </row>
    <row r="605" spans="1:1">
      <c r="A605" t="s">
        <v>2</v>
      </c>
    </row>
    <row r="606" spans="1:1">
      <c r="A606" t="s">
        <v>3</v>
      </c>
    </row>
    <row r="607" spans="1:1">
      <c r="A607" t="s">
        <v>4</v>
      </c>
    </row>
    <row r="608" spans="1:1">
      <c r="A608" t="s">
        <v>5</v>
      </c>
    </row>
    <row r="609" spans="1:1">
      <c r="A609" t="s">
        <v>6</v>
      </c>
    </row>
    <row r="610" spans="1:1">
      <c r="A610" t="s">
        <v>189</v>
      </c>
    </row>
    <row r="611" spans="1:1">
      <c r="A611" t="s">
        <v>89</v>
      </c>
    </row>
    <row r="612" spans="1:1">
      <c r="A612" t="s">
        <v>90</v>
      </c>
    </row>
    <row r="613" spans="1:1">
      <c r="A613" t="s">
        <v>91</v>
      </c>
    </row>
    <row r="614" spans="1:1">
      <c r="A614" t="s">
        <v>33</v>
      </c>
    </row>
    <row r="615" spans="1:1">
      <c r="A615" t="s">
        <v>5</v>
      </c>
    </row>
    <row r="616" spans="1:1">
      <c r="A616" t="s">
        <v>181</v>
      </c>
    </row>
    <row r="617" spans="1:1">
      <c r="A617" t="s">
        <v>190</v>
      </c>
    </row>
    <row r="618" spans="1:1">
      <c r="A618" t="s">
        <v>127</v>
      </c>
    </row>
    <row r="619" spans="1:1">
      <c r="A619" t="s">
        <v>128</v>
      </c>
    </row>
    <row r="620" spans="1:1">
      <c r="A620" t="s">
        <v>129</v>
      </c>
    </row>
    <row r="621" spans="1:1">
      <c r="A621" t="s">
        <v>72</v>
      </c>
    </row>
    <row r="622" spans="1:1">
      <c r="A622" t="s">
        <v>5</v>
      </c>
    </row>
    <row r="623" spans="1:1">
      <c r="A623" t="s">
        <v>6</v>
      </c>
    </row>
    <row r="624" spans="1:1">
      <c r="A624" t="s">
        <v>191</v>
      </c>
    </row>
    <row r="625" spans="1:1">
      <c r="A625" t="s">
        <v>143</v>
      </c>
    </row>
    <row r="626" spans="1:1">
      <c r="A626" t="s">
        <v>97</v>
      </c>
    </row>
    <row r="627" spans="1:1">
      <c r="A627" t="s">
        <v>98</v>
      </c>
    </row>
    <row r="628" spans="1:1">
      <c r="A628" t="s">
        <v>72</v>
      </c>
    </row>
    <row r="629" spans="1:1">
      <c r="A629" t="s">
        <v>5</v>
      </c>
    </row>
    <row r="630" spans="1:1">
      <c r="A630" t="s">
        <v>6</v>
      </c>
    </row>
    <row r="631" spans="1:1">
      <c r="A631" t="s">
        <v>192</v>
      </c>
    </row>
    <row r="632" spans="1:1">
      <c r="A632" t="s">
        <v>69</v>
      </c>
    </row>
    <row r="633" spans="1:1">
      <c r="A633" t="s">
        <v>110</v>
      </c>
    </row>
    <row r="634" spans="1:1">
      <c r="A634" t="s">
        <v>111</v>
      </c>
    </row>
    <row r="635" spans="1:1">
      <c r="A635" t="s">
        <v>72</v>
      </c>
    </row>
    <row r="636" spans="1:1">
      <c r="A636" t="s">
        <v>5</v>
      </c>
    </row>
    <row r="637" spans="1:1">
      <c r="A637" t="s">
        <v>6</v>
      </c>
    </row>
    <row r="638" spans="1:1">
      <c r="A638" t="s">
        <v>193</v>
      </c>
    </row>
    <row r="639" spans="1:1">
      <c r="A639" t="s">
        <v>69</v>
      </c>
    </row>
    <row r="640" spans="1:1">
      <c r="A640" t="s">
        <v>86</v>
      </c>
    </row>
    <row r="641" spans="1:1">
      <c r="A641" t="s">
        <v>87</v>
      </c>
    </row>
    <row r="642" spans="1:1">
      <c r="A642" t="s">
        <v>72</v>
      </c>
    </row>
    <row r="643" spans="1:1">
      <c r="A643" t="s">
        <v>5</v>
      </c>
    </row>
    <row r="644" spans="1:1">
      <c r="A644" t="s">
        <v>6</v>
      </c>
    </row>
    <row r="645" spans="1:1">
      <c r="A645" t="s">
        <v>194</v>
      </c>
    </row>
    <row r="646" spans="1:1">
      <c r="A646" t="s">
        <v>143</v>
      </c>
    </row>
    <row r="647" spans="1:1">
      <c r="A647" t="s">
        <v>150</v>
      </c>
    </row>
    <row r="648" spans="1:1">
      <c r="A648" t="s">
        <v>180</v>
      </c>
    </row>
    <row r="649" spans="1:1">
      <c r="A649" t="s">
        <v>72</v>
      </c>
    </row>
    <row r="650" spans="1:1">
      <c r="A650" t="s">
        <v>5</v>
      </c>
    </row>
    <row r="651" spans="1:1">
      <c r="A651" t="s">
        <v>181</v>
      </c>
    </row>
    <row r="652" spans="1:1">
      <c r="A652" t="s">
        <v>195</v>
      </c>
    </row>
    <row r="653" spans="1:1">
      <c r="A653" t="s">
        <v>89</v>
      </c>
    </row>
    <row r="654" spans="1:1">
      <c r="A654" t="s">
        <v>90</v>
      </c>
    </row>
    <row r="655" spans="1:1">
      <c r="A655" t="s">
        <v>91</v>
      </c>
    </row>
    <row r="656" spans="1:1">
      <c r="A656" t="s">
        <v>33</v>
      </c>
    </row>
    <row r="657" spans="1:1">
      <c r="A657" t="s">
        <v>5</v>
      </c>
    </row>
    <row r="658" spans="1:1">
      <c r="A658" t="s">
        <v>181</v>
      </c>
    </row>
    <row r="659" spans="1:1">
      <c r="A659" t="s">
        <v>196</v>
      </c>
    </row>
    <row r="660" spans="1:1">
      <c r="A660" t="s">
        <v>69</v>
      </c>
    </row>
    <row r="661" spans="1:1">
      <c r="A661" t="s">
        <v>70</v>
      </c>
    </row>
    <row r="662" spans="1:1">
      <c r="A662" t="s">
        <v>71</v>
      </c>
    </row>
    <row r="663" spans="1:1">
      <c r="A663" t="s">
        <v>72</v>
      </c>
    </row>
    <row r="664" spans="1:1">
      <c r="A664" t="s">
        <v>5</v>
      </c>
    </row>
    <row r="665" spans="1:1">
      <c r="A665" t="s">
        <v>6</v>
      </c>
    </row>
    <row r="666" spans="1:1">
      <c r="A666" t="s">
        <v>197</v>
      </c>
    </row>
    <row r="667" spans="1:1">
      <c r="A667" t="s">
        <v>69</v>
      </c>
    </row>
    <row r="668" spans="1:1">
      <c r="A668" t="s">
        <v>110</v>
      </c>
    </row>
    <row r="669" spans="1:1">
      <c r="A669" t="s">
        <v>111</v>
      </c>
    </row>
    <row r="670" spans="1:1">
      <c r="A670" t="s">
        <v>72</v>
      </c>
    </row>
    <row r="671" spans="1:1">
      <c r="A671" t="s">
        <v>5</v>
      </c>
    </row>
    <row r="672" spans="1:1">
      <c r="A672" t="s">
        <v>6</v>
      </c>
    </row>
    <row r="673" spans="1:1">
      <c r="A673" t="s">
        <v>198</v>
      </c>
    </row>
    <row r="674" spans="1:1">
      <c r="A674" t="s">
        <v>69</v>
      </c>
    </row>
    <row r="675" spans="1:1">
      <c r="A675" t="s">
        <v>90</v>
      </c>
    </row>
    <row r="676" spans="1:1">
      <c r="A676" t="s">
        <v>91</v>
      </c>
    </row>
    <row r="677" spans="1:1">
      <c r="A677" t="s">
        <v>33</v>
      </c>
    </row>
    <row r="678" spans="1:1">
      <c r="A678" t="s">
        <v>5</v>
      </c>
    </row>
    <row r="679" spans="1:1">
      <c r="A679" t="s">
        <v>6</v>
      </c>
    </row>
    <row r="680" spans="1:1">
      <c r="A680" t="s">
        <v>199</v>
      </c>
    </row>
    <row r="681" spans="1:1">
      <c r="A681" t="s">
        <v>159</v>
      </c>
    </row>
    <row r="682" spans="1:1">
      <c r="A682" t="s">
        <v>200</v>
      </c>
    </row>
    <row r="683" spans="1:1">
      <c r="A683" t="s">
        <v>201</v>
      </c>
    </row>
    <row r="684" spans="1:1">
      <c r="A684" t="s">
        <v>33</v>
      </c>
    </row>
    <row r="685" spans="1:1">
      <c r="A685" t="s">
        <v>5</v>
      </c>
    </row>
    <row r="686" spans="1:1">
      <c r="A686" t="s">
        <v>6</v>
      </c>
    </row>
    <row r="687" spans="1:1">
      <c r="A687" t="s">
        <v>202</v>
      </c>
    </row>
    <row r="688" spans="1:1">
      <c r="A688" t="s">
        <v>69</v>
      </c>
    </row>
    <row r="689" spans="1:1">
      <c r="A689" t="s">
        <v>110</v>
      </c>
    </row>
    <row r="690" spans="1:1">
      <c r="A690" t="s">
        <v>111</v>
      </c>
    </row>
    <row r="691" spans="1:1">
      <c r="A691" t="s">
        <v>72</v>
      </c>
    </row>
    <row r="692" spans="1:1">
      <c r="A692" t="s">
        <v>72</v>
      </c>
    </row>
    <row r="693" spans="1:1">
      <c r="A693" t="s">
        <v>5</v>
      </c>
    </row>
    <row r="694" spans="1:1">
      <c r="A694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10"/>
  <sheetViews>
    <sheetView topLeftCell="A76" workbookViewId="0">
      <selection activeCell="A110" sqref="A110:XFD110"/>
    </sheetView>
  </sheetViews>
  <sheetFormatPr defaultRowHeight="14.5"/>
  <cols>
    <col min="1" max="1" width="18.54296875" bestFit="1" customWidth="1"/>
    <col min="2" max="2" width="10.453125" bestFit="1" customWidth="1"/>
    <col min="4" max="4" width="10.453125" bestFit="1" customWidth="1"/>
    <col min="11" max="11" width="9.7265625" bestFit="1" customWidth="1"/>
    <col min="13" max="13" width="10.453125" bestFit="1" customWidth="1"/>
    <col min="14" max="14" width="18.36328125" bestFit="1" customWidth="1"/>
    <col min="15" max="15" width="4.1796875" style="7" bestFit="1" customWidth="1"/>
    <col min="16" max="17" width="3.81640625" style="7" bestFit="1" customWidth="1"/>
  </cols>
  <sheetData>
    <row r="1" spans="1:19" s="7" customFormat="1">
      <c r="A1" s="18" t="s">
        <v>203</v>
      </c>
      <c r="B1" s="18" t="s">
        <v>312</v>
      </c>
      <c r="C1" s="18" t="s">
        <v>204</v>
      </c>
      <c r="D1" s="18" t="s">
        <v>205</v>
      </c>
      <c r="E1" s="18" t="s">
        <v>204</v>
      </c>
      <c r="F1" s="18" t="s">
        <v>206</v>
      </c>
      <c r="G1" s="18" t="s">
        <v>207</v>
      </c>
      <c r="H1" s="18" t="s">
        <v>439</v>
      </c>
      <c r="I1" s="18" t="s">
        <v>436</v>
      </c>
      <c r="J1" s="18" t="s">
        <v>209</v>
      </c>
      <c r="K1" s="18" t="s">
        <v>210</v>
      </c>
      <c r="L1" s="18" t="s">
        <v>211</v>
      </c>
      <c r="M1" s="18" t="s">
        <v>212</v>
      </c>
      <c r="N1" s="18" t="s">
        <v>213</v>
      </c>
      <c r="O1" s="18" t="s">
        <v>379</v>
      </c>
      <c r="P1" s="18" t="s">
        <v>433</v>
      </c>
      <c r="Q1" s="18" t="s">
        <v>434</v>
      </c>
      <c r="R1" s="18" t="s">
        <v>313</v>
      </c>
      <c r="S1" s="18" t="s">
        <v>214</v>
      </c>
    </row>
    <row r="2" spans="1:19">
      <c r="A2" t="s">
        <v>215</v>
      </c>
      <c r="B2" s="1">
        <v>43596</v>
      </c>
      <c r="C2" s="2">
        <v>0.33333333333333331</v>
      </c>
      <c r="D2" s="1">
        <v>43596</v>
      </c>
      <c r="E2" s="2">
        <v>0.625</v>
      </c>
      <c r="F2" t="s">
        <v>216</v>
      </c>
      <c r="G2" t="s">
        <v>216</v>
      </c>
      <c r="H2" t="str">
        <f t="shared" ref="H2:H61" si="0">IF(F2=G2,"No","Yes")</f>
        <v>No</v>
      </c>
      <c r="I2">
        <v>7</v>
      </c>
      <c r="J2" t="s">
        <v>217</v>
      </c>
      <c r="K2" t="s">
        <v>218</v>
      </c>
      <c r="L2" t="s">
        <v>219</v>
      </c>
      <c r="M2" s="1">
        <v>43223</v>
      </c>
      <c r="N2" t="s">
        <v>220</v>
      </c>
      <c r="O2" s="7">
        <v>335</v>
      </c>
      <c r="P2" s="7">
        <v>56</v>
      </c>
      <c r="Q2" s="7">
        <v>12</v>
      </c>
      <c r="R2">
        <v>197</v>
      </c>
      <c r="S2">
        <v>65</v>
      </c>
    </row>
    <row r="3" spans="1:19">
      <c r="A3" t="s">
        <v>221</v>
      </c>
      <c r="B3" s="1">
        <v>43601</v>
      </c>
      <c r="C3" s="2">
        <v>0.29166666666666669</v>
      </c>
      <c r="D3" s="1">
        <v>43601</v>
      </c>
      <c r="E3" s="2">
        <v>0.66666666666666663</v>
      </c>
      <c r="F3" t="s">
        <v>222</v>
      </c>
      <c r="G3" t="s">
        <v>222</v>
      </c>
      <c r="H3" t="str">
        <f t="shared" si="0"/>
        <v>No</v>
      </c>
      <c r="I3">
        <v>9</v>
      </c>
      <c r="J3" t="s">
        <v>33</v>
      </c>
      <c r="K3" t="s">
        <v>223</v>
      </c>
      <c r="L3" t="s">
        <v>224</v>
      </c>
      <c r="M3" s="1">
        <v>43076</v>
      </c>
      <c r="N3" t="s">
        <v>225</v>
      </c>
      <c r="O3" s="7">
        <v>965</v>
      </c>
      <c r="P3" s="7">
        <v>106</v>
      </c>
      <c r="Q3" s="7">
        <v>27</v>
      </c>
      <c r="R3">
        <v>2224</v>
      </c>
      <c r="S3">
        <v>1000</v>
      </c>
    </row>
    <row r="4" spans="1:19">
      <c r="A4" t="s">
        <v>215</v>
      </c>
      <c r="B4" s="1">
        <v>43603</v>
      </c>
      <c r="C4" s="2">
        <v>0.25</v>
      </c>
      <c r="D4" s="1">
        <v>43603</v>
      </c>
      <c r="E4" s="2">
        <v>0.625</v>
      </c>
      <c r="F4" t="s">
        <v>216</v>
      </c>
      <c r="G4" t="s">
        <v>216</v>
      </c>
      <c r="H4" t="str">
        <f t="shared" si="0"/>
        <v>No</v>
      </c>
      <c r="I4">
        <v>9</v>
      </c>
      <c r="J4" t="s">
        <v>217</v>
      </c>
      <c r="K4" t="s">
        <v>218</v>
      </c>
      <c r="L4" t="s">
        <v>219</v>
      </c>
      <c r="M4" s="1">
        <v>42885</v>
      </c>
      <c r="N4" t="s">
        <v>220</v>
      </c>
      <c r="O4" s="7">
        <v>335</v>
      </c>
      <c r="P4" s="7">
        <v>56</v>
      </c>
      <c r="Q4" s="7">
        <v>12</v>
      </c>
      <c r="R4">
        <v>197</v>
      </c>
      <c r="S4">
        <v>65</v>
      </c>
    </row>
    <row r="5" spans="1:19">
      <c r="A5" t="s">
        <v>226</v>
      </c>
      <c r="B5" s="1">
        <v>43603</v>
      </c>
      <c r="C5" s="2">
        <v>0.9375</v>
      </c>
      <c r="D5" s="1">
        <v>43604</v>
      </c>
      <c r="E5" s="2">
        <v>0.79166666666666663</v>
      </c>
      <c r="F5" t="s">
        <v>216</v>
      </c>
      <c r="G5" t="s">
        <v>227</v>
      </c>
      <c r="H5" t="str">
        <f t="shared" si="0"/>
        <v>Yes</v>
      </c>
      <c r="I5">
        <v>21</v>
      </c>
      <c r="J5" t="s">
        <v>217</v>
      </c>
      <c r="K5" t="s">
        <v>228</v>
      </c>
      <c r="L5" t="s">
        <v>228</v>
      </c>
      <c r="M5" s="1">
        <v>43021</v>
      </c>
      <c r="N5" t="s">
        <v>229</v>
      </c>
      <c r="O5" s="7">
        <v>267</v>
      </c>
      <c r="P5" s="7" t="s">
        <v>465</v>
      </c>
      <c r="Q5" s="7" t="s">
        <v>465</v>
      </c>
      <c r="R5">
        <v>175</v>
      </c>
      <c r="S5">
        <v>43</v>
      </c>
    </row>
    <row r="6" spans="1:19">
      <c r="A6" t="s">
        <v>230</v>
      </c>
      <c r="B6" s="1">
        <v>43604</v>
      </c>
      <c r="C6" s="2">
        <v>0.33333333333333331</v>
      </c>
      <c r="D6" s="1">
        <v>43604</v>
      </c>
      <c r="E6" s="2">
        <v>0.70833333333333337</v>
      </c>
      <c r="F6" t="s">
        <v>227</v>
      </c>
      <c r="G6" t="s">
        <v>227</v>
      </c>
      <c r="H6" t="str">
        <f t="shared" si="0"/>
        <v>No</v>
      </c>
      <c r="I6">
        <v>9</v>
      </c>
      <c r="J6" t="s">
        <v>231</v>
      </c>
      <c r="K6" t="s">
        <v>232</v>
      </c>
      <c r="L6" t="s">
        <v>233</v>
      </c>
      <c r="M6" s="1">
        <v>42808</v>
      </c>
      <c r="N6" t="s">
        <v>234</v>
      </c>
      <c r="O6" s="7">
        <v>918</v>
      </c>
      <c r="P6" s="7">
        <v>106</v>
      </c>
      <c r="Q6" s="7">
        <v>26</v>
      </c>
      <c r="R6" s="3">
        <v>1950</v>
      </c>
      <c r="S6">
        <v>760</v>
      </c>
    </row>
    <row r="7" spans="1:19">
      <c r="A7" t="s">
        <v>221</v>
      </c>
      <c r="B7" s="1">
        <v>43608</v>
      </c>
      <c r="C7" s="2">
        <v>0.29166666666666669</v>
      </c>
      <c r="D7" s="1">
        <v>43608</v>
      </c>
      <c r="E7" s="2">
        <v>0.66666666666666663</v>
      </c>
      <c r="F7" t="s">
        <v>222</v>
      </c>
      <c r="G7" t="s">
        <v>222</v>
      </c>
      <c r="H7" t="str">
        <f t="shared" si="0"/>
        <v>No</v>
      </c>
      <c r="I7">
        <v>9</v>
      </c>
      <c r="J7" t="s">
        <v>33</v>
      </c>
      <c r="K7" t="s">
        <v>223</v>
      </c>
      <c r="L7" t="s">
        <v>224</v>
      </c>
      <c r="M7" s="1">
        <v>43076</v>
      </c>
      <c r="N7" t="s">
        <v>225</v>
      </c>
      <c r="O7" s="7">
        <v>965</v>
      </c>
      <c r="P7" s="7">
        <v>106</v>
      </c>
      <c r="Q7" s="7">
        <v>27</v>
      </c>
      <c r="R7">
        <v>2224</v>
      </c>
      <c r="S7">
        <v>1000</v>
      </c>
    </row>
    <row r="8" spans="1:19">
      <c r="A8" t="s">
        <v>226</v>
      </c>
      <c r="B8" s="1">
        <v>43613</v>
      </c>
      <c r="C8" s="2">
        <v>0.9375</v>
      </c>
      <c r="D8" s="1">
        <v>43614</v>
      </c>
      <c r="E8" s="2">
        <v>0.79166666666666663</v>
      </c>
      <c r="F8" t="s">
        <v>235</v>
      </c>
      <c r="G8" t="s">
        <v>236</v>
      </c>
      <c r="H8" t="str">
        <f t="shared" si="0"/>
        <v>Yes</v>
      </c>
      <c r="I8">
        <v>21</v>
      </c>
      <c r="J8" t="s">
        <v>217</v>
      </c>
      <c r="K8" t="s">
        <v>228</v>
      </c>
      <c r="L8" t="s">
        <v>228</v>
      </c>
      <c r="M8" s="1">
        <v>43021</v>
      </c>
      <c r="N8" t="s">
        <v>229</v>
      </c>
      <c r="O8" s="7">
        <v>267</v>
      </c>
      <c r="P8" s="7" t="s">
        <v>465</v>
      </c>
      <c r="Q8" s="7" t="s">
        <v>465</v>
      </c>
      <c r="R8">
        <v>175</v>
      </c>
      <c r="S8">
        <v>43</v>
      </c>
    </row>
    <row r="9" spans="1:19">
      <c r="A9" t="s">
        <v>221</v>
      </c>
      <c r="B9" s="1">
        <v>43622</v>
      </c>
      <c r="C9" s="2">
        <v>0.29166666666666669</v>
      </c>
      <c r="D9" s="1">
        <v>43622</v>
      </c>
      <c r="E9" s="2">
        <v>0.66666666666666663</v>
      </c>
      <c r="F9" t="s">
        <v>222</v>
      </c>
      <c r="G9" t="s">
        <v>222</v>
      </c>
      <c r="H9" t="str">
        <f t="shared" si="0"/>
        <v>No</v>
      </c>
      <c r="I9">
        <v>9</v>
      </c>
      <c r="J9" t="s">
        <v>33</v>
      </c>
      <c r="K9" t="s">
        <v>223</v>
      </c>
      <c r="L9" t="s">
        <v>224</v>
      </c>
      <c r="M9" s="1">
        <v>43076</v>
      </c>
      <c r="N9" t="s">
        <v>225</v>
      </c>
      <c r="O9" s="7">
        <v>965</v>
      </c>
      <c r="P9" s="7">
        <v>106</v>
      </c>
      <c r="Q9" s="7">
        <v>27</v>
      </c>
      <c r="R9">
        <v>2224</v>
      </c>
      <c r="S9">
        <v>1000</v>
      </c>
    </row>
    <row r="10" spans="1:19">
      <c r="A10" t="s">
        <v>237</v>
      </c>
      <c r="B10" s="1">
        <v>43623</v>
      </c>
      <c r="C10" s="2">
        <v>0.33333333333333331</v>
      </c>
      <c r="D10" s="1">
        <v>43624</v>
      </c>
      <c r="E10" s="2">
        <v>0.5625</v>
      </c>
      <c r="F10" t="s">
        <v>238</v>
      </c>
      <c r="G10" t="s">
        <v>216</v>
      </c>
      <c r="H10" t="str">
        <f t="shared" si="0"/>
        <v>Yes</v>
      </c>
      <c r="I10">
        <v>21</v>
      </c>
      <c r="J10" t="s">
        <v>217</v>
      </c>
      <c r="K10" t="s">
        <v>228</v>
      </c>
      <c r="L10" t="s">
        <v>228</v>
      </c>
      <c r="M10" s="1">
        <v>43021</v>
      </c>
      <c r="N10" t="s">
        <v>239</v>
      </c>
      <c r="O10" s="7">
        <v>215</v>
      </c>
      <c r="P10" s="7" t="s">
        <v>465</v>
      </c>
      <c r="Q10" s="7" t="s">
        <v>465</v>
      </c>
      <c r="R10">
        <v>98</v>
      </c>
      <c r="S10">
        <v>26</v>
      </c>
    </row>
    <row r="11" spans="1:19">
      <c r="A11" t="s">
        <v>226</v>
      </c>
      <c r="B11" s="1">
        <v>43623</v>
      </c>
      <c r="C11" s="2">
        <v>0.9375</v>
      </c>
      <c r="D11" s="1">
        <v>43624</v>
      </c>
      <c r="E11" s="2">
        <v>0.79166666666666663</v>
      </c>
      <c r="F11" t="s">
        <v>238</v>
      </c>
      <c r="G11" t="s">
        <v>216</v>
      </c>
      <c r="H11" t="str">
        <f t="shared" si="0"/>
        <v>Yes</v>
      </c>
      <c r="I11">
        <v>21</v>
      </c>
      <c r="J11" t="s">
        <v>33</v>
      </c>
      <c r="K11" t="s">
        <v>228</v>
      </c>
      <c r="L11" t="s">
        <v>228</v>
      </c>
      <c r="M11" s="1">
        <v>43021</v>
      </c>
      <c r="N11" t="s">
        <v>229</v>
      </c>
      <c r="O11" s="7">
        <v>267</v>
      </c>
      <c r="P11" s="7" t="s">
        <v>465</v>
      </c>
      <c r="Q11" s="7" t="s">
        <v>465</v>
      </c>
      <c r="R11">
        <v>175</v>
      </c>
      <c r="S11">
        <v>43</v>
      </c>
    </row>
    <row r="12" spans="1:19">
      <c r="A12" t="s">
        <v>240</v>
      </c>
      <c r="B12" s="1">
        <v>43624</v>
      </c>
      <c r="C12" s="2">
        <v>0.33333333333333331</v>
      </c>
      <c r="D12" s="1">
        <v>43624</v>
      </c>
      <c r="E12" s="2">
        <v>0.70833333333333337</v>
      </c>
      <c r="F12" t="s">
        <v>216</v>
      </c>
      <c r="G12" t="s">
        <v>216</v>
      </c>
      <c r="H12" t="str">
        <f t="shared" si="0"/>
        <v>No</v>
      </c>
      <c r="I12">
        <v>11</v>
      </c>
      <c r="J12" t="s">
        <v>231</v>
      </c>
      <c r="K12" t="s">
        <v>232</v>
      </c>
      <c r="L12" t="s">
        <v>241</v>
      </c>
      <c r="M12" s="1">
        <v>43073</v>
      </c>
      <c r="N12" t="s">
        <v>225</v>
      </c>
      <c r="O12" s="7">
        <v>965</v>
      </c>
      <c r="P12" s="7">
        <v>106</v>
      </c>
      <c r="Q12" s="7">
        <v>27</v>
      </c>
      <c r="R12" s="3">
        <v>2038</v>
      </c>
      <c r="S12">
        <v>999</v>
      </c>
    </row>
    <row r="13" spans="1:19">
      <c r="A13" t="s">
        <v>221</v>
      </c>
      <c r="B13" s="1">
        <v>43629</v>
      </c>
      <c r="C13" s="2">
        <v>0.29166666666666669</v>
      </c>
      <c r="D13" s="1">
        <v>43629</v>
      </c>
      <c r="E13" s="2">
        <v>0.66666666666666663</v>
      </c>
      <c r="F13" t="s">
        <v>222</v>
      </c>
      <c r="G13" t="s">
        <v>222</v>
      </c>
      <c r="H13" t="str">
        <f t="shared" si="0"/>
        <v>No</v>
      </c>
      <c r="I13">
        <v>9</v>
      </c>
      <c r="J13" t="s">
        <v>33</v>
      </c>
      <c r="K13" t="s">
        <v>223</v>
      </c>
      <c r="L13" t="s">
        <v>224</v>
      </c>
      <c r="M13" s="1">
        <v>43076</v>
      </c>
      <c r="N13" t="s">
        <v>225</v>
      </c>
      <c r="O13" s="7">
        <v>965</v>
      </c>
      <c r="P13" s="7">
        <v>106</v>
      </c>
      <c r="Q13" s="7">
        <v>27</v>
      </c>
      <c r="R13">
        <v>2224</v>
      </c>
      <c r="S13">
        <v>1000</v>
      </c>
    </row>
    <row r="14" spans="1:19">
      <c r="A14" t="s">
        <v>237</v>
      </c>
      <c r="B14" s="1">
        <v>43630</v>
      </c>
      <c r="C14" s="2">
        <v>0.70833333333333337</v>
      </c>
      <c r="D14" s="1">
        <v>43631</v>
      </c>
      <c r="E14" s="2">
        <v>0.5625</v>
      </c>
      <c r="F14" t="s">
        <v>238</v>
      </c>
      <c r="G14" t="s">
        <v>216</v>
      </c>
      <c r="H14" t="str">
        <f t="shared" si="0"/>
        <v>Yes</v>
      </c>
      <c r="I14">
        <v>21</v>
      </c>
      <c r="J14" t="s">
        <v>217</v>
      </c>
      <c r="K14" t="s">
        <v>228</v>
      </c>
      <c r="L14" t="s">
        <v>228</v>
      </c>
      <c r="M14" s="1">
        <v>43021</v>
      </c>
      <c r="N14" t="s">
        <v>239</v>
      </c>
      <c r="O14" s="7">
        <v>215</v>
      </c>
      <c r="P14" s="7" t="s">
        <v>465</v>
      </c>
      <c r="Q14" s="7" t="s">
        <v>465</v>
      </c>
      <c r="R14">
        <v>98</v>
      </c>
      <c r="S14">
        <v>26</v>
      </c>
    </row>
    <row r="15" spans="1:19">
      <c r="A15" t="s">
        <v>230</v>
      </c>
      <c r="B15" s="1">
        <v>43632</v>
      </c>
      <c r="C15" s="2">
        <v>0.33333333333333331</v>
      </c>
      <c r="D15" s="1">
        <v>43632</v>
      </c>
      <c r="E15" s="2">
        <v>0.70833333333333337</v>
      </c>
      <c r="F15" t="s">
        <v>227</v>
      </c>
      <c r="G15" t="s">
        <v>227</v>
      </c>
      <c r="H15" t="str">
        <f t="shared" si="0"/>
        <v>No</v>
      </c>
      <c r="I15">
        <v>9</v>
      </c>
      <c r="J15" t="s">
        <v>231</v>
      </c>
      <c r="K15" t="s">
        <v>232</v>
      </c>
      <c r="L15" t="s">
        <v>233</v>
      </c>
      <c r="M15" s="1">
        <v>42808</v>
      </c>
      <c r="N15" t="s">
        <v>234</v>
      </c>
      <c r="O15" s="7">
        <v>918</v>
      </c>
      <c r="P15" s="7">
        <v>106</v>
      </c>
      <c r="Q15" s="7">
        <v>26</v>
      </c>
      <c r="R15" s="3">
        <v>1950</v>
      </c>
      <c r="S15">
        <v>760</v>
      </c>
    </row>
    <row r="16" spans="1:19">
      <c r="A16" t="s">
        <v>226</v>
      </c>
      <c r="B16" s="1">
        <v>43633</v>
      </c>
      <c r="C16" s="2">
        <v>0.9375</v>
      </c>
      <c r="D16" s="1">
        <v>43634</v>
      </c>
      <c r="E16" s="2">
        <v>0.79166666666666663</v>
      </c>
      <c r="F16" t="s">
        <v>242</v>
      </c>
      <c r="G16" t="s">
        <v>235</v>
      </c>
      <c r="H16" t="str">
        <f t="shared" si="0"/>
        <v>Yes</v>
      </c>
      <c r="I16">
        <v>21</v>
      </c>
      <c r="J16" t="s">
        <v>217</v>
      </c>
      <c r="K16" t="s">
        <v>228</v>
      </c>
      <c r="L16" t="s">
        <v>228</v>
      </c>
      <c r="M16" s="1">
        <v>43021</v>
      </c>
      <c r="N16" t="s">
        <v>229</v>
      </c>
      <c r="O16" s="7">
        <v>267</v>
      </c>
      <c r="P16" s="7" t="s">
        <v>465</v>
      </c>
      <c r="Q16" s="7" t="s">
        <v>465</v>
      </c>
      <c r="R16">
        <v>175</v>
      </c>
      <c r="S16">
        <v>43</v>
      </c>
    </row>
    <row r="17" spans="1:19">
      <c r="A17" t="s">
        <v>237</v>
      </c>
      <c r="B17" s="1">
        <v>43637</v>
      </c>
      <c r="C17" s="2">
        <v>0.70833333333333337</v>
      </c>
      <c r="D17" s="1">
        <v>43638</v>
      </c>
      <c r="E17" s="2">
        <v>0.5625</v>
      </c>
      <c r="F17" t="s">
        <v>238</v>
      </c>
      <c r="G17" t="s">
        <v>216</v>
      </c>
      <c r="H17" t="str">
        <f t="shared" si="0"/>
        <v>Yes</v>
      </c>
      <c r="I17">
        <v>21</v>
      </c>
      <c r="J17" t="s">
        <v>217</v>
      </c>
      <c r="K17" t="s">
        <v>228</v>
      </c>
      <c r="L17" t="s">
        <v>228</v>
      </c>
      <c r="M17" s="1">
        <v>43021</v>
      </c>
      <c r="N17" t="s">
        <v>239</v>
      </c>
      <c r="O17" s="7">
        <v>215</v>
      </c>
      <c r="P17" s="7" t="s">
        <v>465</v>
      </c>
      <c r="Q17" s="7" t="s">
        <v>465</v>
      </c>
      <c r="R17">
        <v>98</v>
      </c>
      <c r="S17">
        <v>26</v>
      </c>
    </row>
    <row r="18" spans="1:19">
      <c r="A18" t="s">
        <v>240</v>
      </c>
      <c r="B18" s="1">
        <v>43641</v>
      </c>
      <c r="C18" s="2">
        <v>0.29166666666666669</v>
      </c>
      <c r="D18" s="1">
        <v>43641</v>
      </c>
      <c r="E18" s="2">
        <v>0.75</v>
      </c>
      <c r="F18" t="s">
        <v>235</v>
      </c>
      <c r="G18" t="s">
        <v>235</v>
      </c>
      <c r="H18" t="str">
        <f t="shared" si="0"/>
        <v>No</v>
      </c>
      <c r="I18">
        <v>11</v>
      </c>
      <c r="J18" t="s">
        <v>231</v>
      </c>
      <c r="K18" t="s">
        <v>232</v>
      </c>
      <c r="L18" t="s">
        <v>241</v>
      </c>
      <c r="M18" s="1">
        <v>42808</v>
      </c>
      <c r="N18" t="s">
        <v>243</v>
      </c>
      <c r="O18" s="7">
        <v>965</v>
      </c>
      <c r="P18" s="7">
        <v>106</v>
      </c>
      <c r="Q18" s="7">
        <v>26</v>
      </c>
      <c r="R18" s="3">
        <v>2158</v>
      </c>
      <c r="S18">
        <v>999</v>
      </c>
    </row>
    <row r="19" spans="1:19">
      <c r="A19" t="s">
        <v>226</v>
      </c>
      <c r="B19" s="1">
        <v>43643</v>
      </c>
      <c r="C19" s="2">
        <v>0.9375</v>
      </c>
      <c r="D19" s="1">
        <v>43644</v>
      </c>
      <c r="E19" s="2">
        <v>0.79166666666666663</v>
      </c>
      <c r="F19" t="s">
        <v>222</v>
      </c>
      <c r="G19" t="s">
        <v>238</v>
      </c>
      <c r="H19" t="str">
        <f t="shared" si="0"/>
        <v>Yes</v>
      </c>
      <c r="I19">
        <v>21</v>
      </c>
      <c r="J19" t="s">
        <v>217</v>
      </c>
      <c r="K19" t="s">
        <v>228</v>
      </c>
      <c r="L19" t="s">
        <v>228</v>
      </c>
      <c r="M19" s="1">
        <v>43021</v>
      </c>
      <c r="N19" t="s">
        <v>229</v>
      </c>
      <c r="O19" s="7">
        <v>267</v>
      </c>
      <c r="P19" s="7" t="s">
        <v>465</v>
      </c>
      <c r="Q19" s="7" t="s">
        <v>465</v>
      </c>
      <c r="R19">
        <v>175</v>
      </c>
      <c r="S19">
        <v>43</v>
      </c>
    </row>
    <row r="20" spans="1:19">
      <c r="A20" t="s">
        <v>237</v>
      </c>
      <c r="B20" s="1">
        <v>43644</v>
      </c>
      <c r="C20" s="2">
        <v>0.70833333333333337</v>
      </c>
      <c r="D20" s="1">
        <v>43645</v>
      </c>
      <c r="E20" s="2">
        <v>0.5625</v>
      </c>
      <c r="F20" t="s">
        <v>238</v>
      </c>
      <c r="G20" t="s">
        <v>216</v>
      </c>
      <c r="H20" t="str">
        <f t="shared" si="0"/>
        <v>Yes</v>
      </c>
      <c r="I20">
        <v>21</v>
      </c>
      <c r="J20" t="s">
        <v>217</v>
      </c>
      <c r="K20" t="s">
        <v>228</v>
      </c>
      <c r="L20" t="s">
        <v>228</v>
      </c>
      <c r="M20" s="1">
        <v>43021</v>
      </c>
      <c r="N20" t="s">
        <v>239</v>
      </c>
      <c r="O20" s="7">
        <v>215</v>
      </c>
      <c r="P20" s="7" t="s">
        <v>465</v>
      </c>
      <c r="Q20" s="7" t="s">
        <v>465</v>
      </c>
      <c r="R20">
        <v>98</v>
      </c>
      <c r="S20">
        <v>26</v>
      </c>
    </row>
    <row r="21" spans="1:19">
      <c r="A21" t="s">
        <v>237</v>
      </c>
      <c r="B21" s="1">
        <v>43651</v>
      </c>
      <c r="C21" s="2">
        <v>0.70833333333333337</v>
      </c>
      <c r="D21" s="1">
        <v>43652</v>
      </c>
      <c r="E21" s="2">
        <v>0.5625</v>
      </c>
      <c r="F21" t="s">
        <v>238</v>
      </c>
      <c r="G21" t="s">
        <v>216</v>
      </c>
      <c r="H21" t="str">
        <f t="shared" si="0"/>
        <v>Yes</v>
      </c>
      <c r="I21">
        <v>21</v>
      </c>
      <c r="J21" t="s">
        <v>217</v>
      </c>
      <c r="K21" t="s">
        <v>228</v>
      </c>
      <c r="L21" t="s">
        <v>228</v>
      </c>
      <c r="M21" s="1">
        <v>43021</v>
      </c>
      <c r="N21" t="s">
        <v>239</v>
      </c>
      <c r="O21" s="7">
        <v>215</v>
      </c>
      <c r="P21" s="7" t="s">
        <v>465</v>
      </c>
      <c r="Q21" s="7" t="s">
        <v>465</v>
      </c>
      <c r="R21">
        <v>98</v>
      </c>
      <c r="S21">
        <v>26</v>
      </c>
    </row>
    <row r="22" spans="1:19">
      <c r="A22" t="s">
        <v>240</v>
      </c>
      <c r="B22" s="1">
        <v>43651</v>
      </c>
      <c r="C22" s="2">
        <v>0.4375</v>
      </c>
      <c r="D22" s="1">
        <v>43651</v>
      </c>
      <c r="E22" s="2">
        <v>0.83333333333333337</v>
      </c>
      <c r="F22" t="s">
        <v>238</v>
      </c>
      <c r="G22" t="s">
        <v>238</v>
      </c>
      <c r="H22" t="str">
        <f t="shared" si="0"/>
        <v>No</v>
      </c>
      <c r="I22">
        <v>9.5</v>
      </c>
      <c r="J22" t="s">
        <v>231</v>
      </c>
      <c r="K22" t="s">
        <v>232</v>
      </c>
      <c r="L22" t="s">
        <v>241</v>
      </c>
      <c r="M22" s="1">
        <v>42808</v>
      </c>
      <c r="N22" t="s">
        <v>243</v>
      </c>
      <c r="O22" s="7">
        <v>965</v>
      </c>
      <c r="P22" s="7">
        <v>106</v>
      </c>
      <c r="Q22" s="7">
        <v>26</v>
      </c>
      <c r="R22" s="3">
        <v>2158</v>
      </c>
      <c r="S22">
        <v>999</v>
      </c>
    </row>
    <row r="23" spans="1:19">
      <c r="A23" t="s">
        <v>244</v>
      </c>
      <c r="B23" s="1">
        <v>43653</v>
      </c>
      <c r="C23" s="2">
        <v>0.5</v>
      </c>
      <c r="D23" s="1">
        <v>43653</v>
      </c>
      <c r="E23" s="2">
        <v>0</v>
      </c>
      <c r="F23" t="s">
        <v>227</v>
      </c>
      <c r="G23" t="s">
        <v>227</v>
      </c>
      <c r="H23" t="str">
        <f t="shared" si="0"/>
        <v>No</v>
      </c>
      <c r="I23">
        <v>12</v>
      </c>
      <c r="J23" t="s">
        <v>33</v>
      </c>
      <c r="K23" t="s">
        <v>245</v>
      </c>
      <c r="L23" t="s">
        <v>245</v>
      </c>
      <c r="M23" s="1">
        <v>43279</v>
      </c>
      <c r="N23" t="s">
        <v>246</v>
      </c>
      <c r="O23" s="7">
        <v>184</v>
      </c>
      <c r="P23" s="7">
        <v>40</v>
      </c>
      <c r="Q23" s="7">
        <v>6.6</v>
      </c>
      <c r="R23">
        <v>83</v>
      </c>
      <c r="S23">
        <v>17</v>
      </c>
    </row>
    <row r="24" spans="1:19">
      <c r="A24" t="s">
        <v>226</v>
      </c>
      <c r="B24" s="1">
        <v>43653</v>
      </c>
      <c r="C24" s="2">
        <v>0.9375</v>
      </c>
      <c r="D24" s="1">
        <v>43654</v>
      </c>
      <c r="E24" s="2">
        <v>0.8125</v>
      </c>
      <c r="F24" t="s">
        <v>227</v>
      </c>
      <c r="G24" t="s">
        <v>242</v>
      </c>
      <c r="H24" t="str">
        <f t="shared" si="0"/>
        <v>Yes</v>
      </c>
      <c r="I24">
        <v>21</v>
      </c>
      <c r="J24" t="s">
        <v>217</v>
      </c>
      <c r="K24" t="s">
        <v>228</v>
      </c>
      <c r="L24" t="s">
        <v>228</v>
      </c>
      <c r="M24" s="1">
        <v>43021</v>
      </c>
      <c r="N24" t="s">
        <v>229</v>
      </c>
      <c r="O24" s="7">
        <v>267</v>
      </c>
      <c r="P24" s="7" t="s">
        <v>465</v>
      </c>
      <c r="Q24" s="7" t="s">
        <v>465</v>
      </c>
      <c r="R24">
        <v>175</v>
      </c>
      <c r="S24">
        <v>43</v>
      </c>
    </row>
    <row r="25" spans="1:19">
      <c r="A25" t="s">
        <v>237</v>
      </c>
      <c r="B25" s="1">
        <v>43658</v>
      </c>
      <c r="C25" s="2">
        <v>0.70833333333333337</v>
      </c>
      <c r="D25" s="1">
        <v>43659</v>
      </c>
      <c r="E25" s="2">
        <v>0.5625</v>
      </c>
      <c r="F25" t="s">
        <v>238</v>
      </c>
      <c r="G25" t="s">
        <v>216</v>
      </c>
      <c r="H25" t="str">
        <f t="shared" si="0"/>
        <v>Yes</v>
      </c>
      <c r="J25" t="s">
        <v>217</v>
      </c>
      <c r="K25" t="s">
        <v>228</v>
      </c>
      <c r="L25" t="s">
        <v>228</v>
      </c>
      <c r="M25" s="1">
        <v>43021</v>
      </c>
      <c r="N25" t="s">
        <v>239</v>
      </c>
      <c r="O25" s="7">
        <v>215</v>
      </c>
      <c r="P25" s="7" t="s">
        <v>465</v>
      </c>
      <c r="Q25" s="7" t="s">
        <v>465</v>
      </c>
      <c r="R25">
        <v>98</v>
      </c>
      <c r="S25">
        <v>26</v>
      </c>
    </row>
    <row r="26" spans="1:19">
      <c r="A26" t="s">
        <v>230</v>
      </c>
      <c r="B26" s="1">
        <v>43660</v>
      </c>
      <c r="C26" s="2">
        <v>0.33333333333333331</v>
      </c>
      <c r="D26" s="1">
        <v>43660</v>
      </c>
      <c r="E26" s="2">
        <v>0.70833333333333337</v>
      </c>
      <c r="F26" t="s">
        <v>227</v>
      </c>
      <c r="G26" t="s">
        <v>227</v>
      </c>
      <c r="H26" t="str">
        <f t="shared" si="0"/>
        <v>No</v>
      </c>
      <c r="I26">
        <v>9</v>
      </c>
      <c r="J26" t="s">
        <v>231</v>
      </c>
      <c r="K26" t="s">
        <v>232</v>
      </c>
      <c r="L26" t="s">
        <v>233</v>
      </c>
      <c r="M26" s="1">
        <v>42808</v>
      </c>
      <c r="N26" t="s">
        <v>234</v>
      </c>
      <c r="O26" s="7">
        <v>918</v>
      </c>
      <c r="P26" s="7">
        <v>106</v>
      </c>
      <c r="Q26" s="7">
        <v>26</v>
      </c>
      <c r="R26" s="3">
        <v>1950</v>
      </c>
      <c r="S26">
        <v>760</v>
      </c>
    </row>
    <row r="27" spans="1:19">
      <c r="A27" t="s">
        <v>244</v>
      </c>
      <c r="B27" s="1">
        <v>43664</v>
      </c>
      <c r="C27" s="2">
        <v>0.5</v>
      </c>
      <c r="D27" s="1">
        <v>43664</v>
      </c>
      <c r="E27" s="4">
        <v>0</v>
      </c>
      <c r="F27" t="s">
        <v>222</v>
      </c>
      <c r="G27" t="s">
        <v>222</v>
      </c>
      <c r="H27" t="str">
        <f t="shared" si="0"/>
        <v>No</v>
      </c>
      <c r="I27">
        <v>12</v>
      </c>
      <c r="J27" t="s">
        <v>33</v>
      </c>
      <c r="K27" t="s">
        <v>245</v>
      </c>
      <c r="L27" t="s">
        <v>245</v>
      </c>
      <c r="M27" s="1">
        <v>43279</v>
      </c>
      <c r="N27" t="s">
        <v>246</v>
      </c>
      <c r="O27" s="7">
        <v>184</v>
      </c>
      <c r="P27" s="7">
        <v>40</v>
      </c>
      <c r="Q27" s="7">
        <v>6.6</v>
      </c>
      <c r="R27">
        <v>83</v>
      </c>
      <c r="S27">
        <v>17</v>
      </c>
    </row>
    <row r="28" spans="1:19">
      <c r="A28" t="s">
        <v>226</v>
      </c>
      <c r="B28" s="1">
        <v>43663</v>
      </c>
      <c r="C28" s="2">
        <v>0.9375</v>
      </c>
      <c r="D28" s="1">
        <v>43664</v>
      </c>
      <c r="E28" s="2">
        <v>0.79166666666666663</v>
      </c>
      <c r="F28" t="s">
        <v>236</v>
      </c>
      <c r="G28" t="s">
        <v>222</v>
      </c>
      <c r="H28" t="str">
        <f t="shared" si="0"/>
        <v>Yes</v>
      </c>
      <c r="I28">
        <v>21</v>
      </c>
      <c r="J28" t="s">
        <v>217</v>
      </c>
      <c r="K28" t="s">
        <v>228</v>
      </c>
      <c r="L28" t="s">
        <v>228</v>
      </c>
      <c r="M28" s="1">
        <v>43021</v>
      </c>
      <c r="N28" t="s">
        <v>229</v>
      </c>
      <c r="O28" s="7">
        <v>267</v>
      </c>
      <c r="P28" s="7" t="s">
        <v>465</v>
      </c>
      <c r="Q28" s="7" t="s">
        <v>465</v>
      </c>
      <c r="R28">
        <v>175</v>
      </c>
      <c r="S28">
        <v>43</v>
      </c>
    </row>
    <row r="29" spans="1:19">
      <c r="A29" t="s">
        <v>237</v>
      </c>
      <c r="B29" s="1">
        <v>43665</v>
      </c>
      <c r="C29" s="2">
        <v>0.70833333333333337</v>
      </c>
      <c r="D29" s="1">
        <v>43666</v>
      </c>
      <c r="E29" s="2">
        <v>0.5625</v>
      </c>
      <c r="F29" t="s">
        <v>238</v>
      </c>
      <c r="G29" t="s">
        <v>216</v>
      </c>
      <c r="H29" t="str">
        <f t="shared" si="0"/>
        <v>Yes</v>
      </c>
      <c r="I29">
        <v>21</v>
      </c>
      <c r="J29" t="s">
        <v>217</v>
      </c>
      <c r="K29" t="s">
        <v>228</v>
      </c>
      <c r="L29" t="s">
        <v>228</v>
      </c>
      <c r="M29" s="1">
        <v>43021</v>
      </c>
      <c r="N29" t="s">
        <v>239</v>
      </c>
      <c r="O29" s="7">
        <v>215</v>
      </c>
      <c r="P29" s="7" t="s">
        <v>465</v>
      </c>
      <c r="Q29" s="7" t="s">
        <v>465</v>
      </c>
      <c r="R29">
        <v>98</v>
      </c>
      <c r="S29">
        <v>26</v>
      </c>
    </row>
    <row r="30" spans="1:19">
      <c r="A30" t="s">
        <v>237</v>
      </c>
      <c r="B30" s="1">
        <v>43672</v>
      </c>
      <c r="C30" s="2">
        <v>0.70833333333333337</v>
      </c>
      <c r="D30" s="1">
        <v>43673</v>
      </c>
      <c r="E30" s="2">
        <v>0.5625</v>
      </c>
      <c r="F30" t="s">
        <v>238</v>
      </c>
      <c r="G30" t="s">
        <v>216</v>
      </c>
      <c r="H30" t="str">
        <f t="shared" si="0"/>
        <v>Yes</v>
      </c>
      <c r="I30">
        <v>21</v>
      </c>
      <c r="J30" t="s">
        <v>217</v>
      </c>
      <c r="K30" t="s">
        <v>228</v>
      </c>
      <c r="L30" t="s">
        <v>228</v>
      </c>
      <c r="M30" s="1">
        <v>43021</v>
      </c>
      <c r="N30" t="s">
        <v>239</v>
      </c>
      <c r="O30" s="7">
        <v>215</v>
      </c>
      <c r="P30" s="7" t="s">
        <v>465</v>
      </c>
      <c r="Q30" s="7" t="s">
        <v>465</v>
      </c>
      <c r="R30">
        <v>98</v>
      </c>
      <c r="S30">
        <v>26</v>
      </c>
    </row>
    <row r="31" spans="1:19">
      <c r="A31" t="s">
        <v>226</v>
      </c>
      <c r="B31" s="1">
        <v>43673</v>
      </c>
      <c r="C31" s="2">
        <v>0.9375</v>
      </c>
      <c r="D31" s="1">
        <v>43674</v>
      </c>
      <c r="E31" s="2">
        <v>0.79166666666666663</v>
      </c>
      <c r="F31" t="s">
        <v>216</v>
      </c>
      <c r="G31" t="s">
        <v>227</v>
      </c>
      <c r="H31" t="str">
        <f t="shared" si="0"/>
        <v>Yes</v>
      </c>
      <c r="I31">
        <v>21</v>
      </c>
      <c r="J31" t="s">
        <v>217</v>
      </c>
      <c r="K31" t="s">
        <v>228</v>
      </c>
      <c r="L31" t="s">
        <v>228</v>
      </c>
      <c r="M31" s="1">
        <v>43021</v>
      </c>
      <c r="N31" t="s">
        <v>229</v>
      </c>
      <c r="O31" s="7">
        <v>267</v>
      </c>
      <c r="P31" s="7" t="s">
        <v>465</v>
      </c>
      <c r="Q31" s="7" t="s">
        <v>465</v>
      </c>
      <c r="R31">
        <v>175</v>
      </c>
      <c r="S31">
        <v>43</v>
      </c>
    </row>
    <row r="32" spans="1:19">
      <c r="A32" t="s">
        <v>230</v>
      </c>
      <c r="B32" s="1">
        <v>43674</v>
      </c>
      <c r="C32" s="2">
        <v>0.33333333333333331</v>
      </c>
      <c r="D32" s="1">
        <v>43674</v>
      </c>
      <c r="E32" s="2">
        <v>0.70833333333333337</v>
      </c>
      <c r="F32" t="s">
        <v>227</v>
      </c>
      <c r="G32" t="s">
        <v>227</v>
      </c>
      <c r="H32" t="str">
        <f t="shared" si="0"/>
        <v>No</v>
      </c>
      <c r="I32">
        <v>11</v>
      </c>
      <c r="J32" t="s">
        <v>231</v>
      </c>
      <c r="K32" t="s">
        <v>232</v>
      </c>
      <c r="L32" t="s">
        <v>233</v>
      </c>
      <c r="M32" s="1">
        <v>42808</v>
      </c>
      <c r="N32" t="s">
        <v>234</v>
      </c>
      <c r="O32" s="7">
        <v>918</v>
      </c>
      <c r="P32" s="7">
        <v>106</v>
      </c>
      <c r="Q32" s="7">
        <v>26</v>
      </c>
      <c r="R32" s="3">
        <v>1950</v>
      </c>
      <c r="S32">
        <v>760</v>
      </c>
    </row>
    <row r="33" spans="1:19">
      <c r="A33" t="s">
        <v>237</v>
      </c>
      <c r="B33" s="1">
        <v>43679</v>
      </c>
      <c r="C33" s="2">
        <v>0.70833333333333337</v>
      </c>
      <c r="D33" s="1">
        <v>43680</v>
      </c>
      <c r="E33" s="2">
        <v>0.5625</v>
      </c>
      <c r="F33" t="s">
        <v>238</v>
      </c>
      <c r="G33" t="s">
        <v>216</v>
      </c>
      <c r="H33" t="str">
        <f t="shared" si="0"/>
        <v>Yes</v>
      </c>
      <c r="I33">
        <v>21</v>
      </c>
      <c r="J33" t="s">
        <v>217</v>
      </c>
      <c r="K33" t="s">
        <v>228</v>
      </c>
      <c r="L33" t="s">
        <v>228</v>
      </c>
      <c r="M33" s="1">
        <v>43021</v>
      </c>
      <c r="N33" t="s">
        <v>239</v>
      </c>
      <c r="O33" s="7">
        <v>215</v>
      </c>
      <c r="P33" s="7" t="s">
        <v>465</v>
      </c>
      <c r="Q33" s="7" t="s">
        <v>465</v>
      </c>
      <c r="R33">
        <v>98</v>
      </c>
      <c r="S33">
        <v>26</v>
      </c>
    </row>
    <row r="34" spans="1:19">
      <c r="A34" t="s">
        <v>226</v>
      </c>
      <c r="B34" s="1">
        <v>43683</v>
      </c>
      <c r="C34" s="2">
        <v>0.9375</v>
      </c>
      <c r="D34" s="1">
        <v>43684</v>
      </c>
      <c r="E34" s="2">
        <v>0.79166666666666663</v>
      </c>
      <c r="F34" t="s">
        <v>235</v>
      </c>
      <c r="G34" t="s">
        <v>236</v>
      </c>
      <c r="H34" t="str">
        <f t="shared" si="0"/>
        <v>Yes</v>
      </c>
      <c r="I34">
        <v>21</v>
      </c>
      <c r="J34" t="s">
        <v>217</v>
      </c>
      <c r="K34" t="s">
        <v>228</v>
      </c>
      <c r="L34" t="s">
        <v>228</v>
      </c>
      <c r="M34" s="1">
        <v>43021</v>
      </c>
      <c r="N34" t="s">
        <v>229</v>
      </c>
      <c r="O34" s="7">
        <v>267</v>
      </c>
      <c r="P34" s="7" t="s">
        <v>465</v>
      </c>
      <c r="Q34" s="7" t="s">
        <v>465</v>
      </c>
      <c r="R34">
        <v>175</v>
      </c>
      <c r="S34">
        <v>43</v>
      </c>
    </row>
    <row r="35" spans="1:19">
      <c r="A35" t="s">
        <v>237</v>
      </c>
      <c r="B35" s="1">
        <v>43686</v>
      </c>
      <c r="C35" s="2">
        <v>0.70833333333333337</v>
      </c>
      <c r="D35" s="1">
        <v>43687</v>
      </c>
      <c r="E35" s="2">
        <v>0.5625</v>
      </c>
      <c r="F35" t="s">
        <v>238</v>
      </c>
      <c r="G35" t="s">
        <v>216</v>
      </c>
      <c r="H35" t="str">
        <f t="shared" si="0"/>
        <v>Yes</v>
      </c>
      <c r="I35">
        <v>21</v>
      </c>
      <c r="J35" t="s">
        <v>217</v>
      </c>
      <c r="K35" t="s">
        <v>228</v>
      </c>
      <c r="L35" t="s">
        <v>228</v>
      </c>
      <c r="M35" s="1">
        <v>43021</v>
      </c>
      <c r="N35" t="s">
        <v>239</v>
      </c>
      <c r="O35" s="7">
        <v>215</v>
      </c>
      <c r="P35" s="7" t="s">
        <v>465</v>
      </c>
      <c r="Q35" s="7" t="s">
        <v>465</v>
      </c>
      <c r="R35">
        <v>98</v>
      </c>
      <c r="S35">
        <v>26</v>
      </c>
    </row>
    <row r="36" spans="1:19">
      <c r="A36" t="s">
        <v>230</v>
      </c>
      <c r="B36" s="1">
        <v>43688</v>
      </c>
      <c r="C36" s="2">
        <v>0.33333333333333331</v>
      </c>
      <c r="D36" s="1">
        <v>43688</v>
      </c>
      <c r="E36" s="2">
        <v>0.70833333333333337</v>
      </c>
      <c r="F36" t="s">
        <v>227</v>
      </c>
      <c r="G36" t="s">
        <v>227</v>
      </c>
      <c r="H36" t="str">
        <f t="shared" si="0"/>
        <v>No</v>
      </c>
      <c r="I36">
        <v>9</v>
      </c>
      <c r="J36" t="s">
        <v>231</v>
      </c>
      <c r="K36" t="s">
        <v>232</v>
      </c>
      <c r="L36" t="s">
        <v>233</v>
      </c>
      <c r="M36" s="1">
        <v>42808</v>
      </c>
      <c r="N36" t="s">
        <v>234</v>
      </c>
      <c r="O36" s="7">
        <v>918</v>
      </c>
      <c r="P36" s="7">
        <v>106</v>
      </c>
      <c r="Q36" s="7">
        <v>26</v>
      </c>
      <c r="R36" s="3">
        <v>1950</v>
      </c>
      <c r="S36">
        <v>760</v>
      </c>
    </row>
    <row r="37" spans="1:19">
      <c r="A37" t="s">
        <v>247</v>
      </c>
      <c r="B37" s="1">
        <v>43690</v>
      </c>
      <c r="C37" s="2">
        <v>0.33333333333333331</v>
      </c>
      <c r="D37" s="1">
        <v>43690</v>
      </c>
      <c r="E37" s="2">
        <v>0.8125</v>
      </c>
      <c r="F37" t="s">
        <v>235</v>
      </c>
      <c r="G37" t="s">
        <v>235</v>
      </c>
      <c r="H37" t="str">
        <f t="shared" si="0"/>
        <v>No</v>
      </c>
      <c r="I37">
        <v>12</v>
      </c>
      <c r="J37" t="s">
        <v>33</v>
      </c>
      <c r="K37" t="s">
        <v>248</v>
      </c>
      <c r="L37" t="s">
        <v>249</v>
      </c>
      <c r="M37" s="1">
        <v>42900</v>
      </c>
      <c r="N37" t="s">
        <v>250</v>
      </c>
      <c r="O37" s="7">
        <v>663</v>
      </c>
      <c r="P37" s="7">
        <v>92</v>
      </c>
      <c r="Q37" s="7">
        <v>20</v>
      </c>
      <c r="R37" s="3">
        <v>1266</v>
      </c>
      <c r="S37">
        <v>607</v>
      </c>
    </row>
    <row r="38" spans="1:19">
      <c r="A38" t="s">
        <v>237</v>
      </c>
      <c r="B38" s="1">
        <v>43693</v>
      </c>
      <c r="C38" s="2">
        <v>0.70833333333333337</v>
      </c>
      <c r="D38" s="1">
        <v>43694</v>
      </c>
      <c r="E38" s="2">
        <v>0.5625</v>
      </c>
      <c r="F38" t="s">
        <v>238</v>
      </c>
      <c r="G38" t="s">
        <v>216</v>
      </c>
      <c r="H38" t="str">
        <f t="shared" si="0"/>
        <v>Yes</v>
      </c>
      <c r="I38">
        <v>21</v>
      </c>
      <c r="J38" t="s">
        <v>217</v>
      </c>
      <c r="K38" t="s">
        <v>228</v>
      </c>
      <c r="L38" t="s">
        <v>228</v>
      </c>
      <c r="M38" s="1">
        <v>43021</v>
      </c>
      <c r="N38" t="s">
        <v>239</v>
      </c>
      <c r="O38" s="7">
        <v>215</v>
      </c>
      <c r="P38" s="7" t="s">
        <v>465</v>
      </c>
      <c r="Q38" s="7" t="s">
        <v>465</v>
      </c>
      <c r="R38">
        <v>98</v>
      </c>
      <c r="S38">
        <v>26</v>
      </c>
    </row>
    <row r="39" spans="1:19">
      <c r="A39" t="s">
        <v>251</v>
      </c>
      <c r="B39" s="1">
        <v>43693</v>
      </c>
      <c r="C39" s="2">
        <v>0.45833333333333331</v>
      </c>
      <c r="D39" s="1">
        <v>43693</v>
      </c>
      <c r="E39" s="2">
        <v>0.875</v>
      </c>
      <c r="F39" t="s">
        <v>238</v>
      </c>
      <c r="G39" t="s">
        <v>238</v>
      </c>
      <c r="H39" t="str">
        <f t="shared" si="0"/>
        <v>No</v>
      </c>
      <c r="I39">
        <v>10</v>
      </c>
      <c r="J39" t="s">
        <v>33</v>
      </c>
      <c r="K39" t="s">
        <v>218</v>
      </c>
      <c r="L39" t="s">
        <v>252</v>
      </c>
      <c r="M39" s="1">
        <v>43033</v>
      </c>
      <c r="N39" t="s">
        <v>253</v>
      </c>
      <c r="O39" s="7">
        <v>950</v>
      </c>
      <c r="P39" s="7" t="s">
        <v>465</v>
      </c>
      <c r="Q39" s="7" t="s">
        <v>465</v>
      </c>
      <c r="R39">
        <v>3052</v>
      </c>
      <c r="S39">
        <v>1142</v>
      </c>
    </row>
    <row r="40" spans="1:19">
      <c r="A40" t="s">
        <v>226</v>
      </c>
      <c r="B40" s="1">
        <v>43693</v>
      </c>
      <c r="C40" s="2">
        <v>0.9375</v>
      </c>
      <c r="D40" s="1">
        <v>43694</v>
      </c>
      <c r="E40" s="2">
        <v>0.79166666666666663</v>
      </c>
      <c r="F40" t="s">
        <v>238</v>
      </c>
      <c r="G40" t="s">
        <v>216</v>
      </c>
      <c r="H40" t="str">
        <f t="shared" si="0"/>
        <v>Yes</v>
      </c>
      <c r="I40">
        <v>21</v>
      </c>
      <c r="J40" t="s">
        <v>33</v>
      </c>
      <c r="K40" t="s">
        <v>228</v>
      </c>
      <c r="L40" t="s">
        <v>228</v>
      </c>
      <c r="M40" s="1">
        <v>43021</v>
      </c>
      <c r="N40" t="s">
        <v>229</v>
      </c>
      <c r="O40" s="7">
        <v>267</v>
      </c>
      <c r="P40" s="7" t="s">
        <v>465</v>
      </c>
      <c r="Q40" s="7" t="s">
        <v>465</v>
      </c>
      <c r="R40">
        <v>175</v>
      </c>
      <c r="S40">
        <v>43</v>
      </c>
    </row>
    <row r="41" spans="1:19">
      <c r="A41" t="s">
        <v>247</v>
      </c>
      <c r="B41" s="1">
        <v>43697</v>
      </c>
      <c r="C41" s="2">
        <v>0.33333333333333331</v>
      </c>
      <c r="D41" s="1">
        <v>43697</v>
      </c>
      <c r="E41" s="2">
        <v>0.625</v>
      </c>
      <c r="F41" t="s">
        <v>235</v>
      </c>
      <c r="G41" t="s">
        <v>235</v>
      </c>
      <c r="H41" t="str">
        <f t="shared" si="0"/>
        <v>No</v>
      </c>
      <c r="I41">
        <v>7</v>
      </c>
      <c r="J41" t="s">
        <v>33</v>
      </c>
      <c r="K41" t="s">
        <v>248</v>
      </c>
      <c r="L41" t="s">
        <v>249</v>
      </c>
      <c r="M41" s="1">
        <v>42900</v>
      </c>
      <c r="N41" t="s">
        <v>250</v>
      </c>
      <c r="O41" s="7">
        <v>663</v>
      </c>
      <c r="P41" s="7">
        <v>92</v>
      </c>
      <c r="Q41" s="7">
        <v>20</v>
      </c>
      <c r="R41" s="3">
        <v>1266</v>
      </c>
      <c r="S41">
        <v>607</v>
      </c>
    </row>
    <row r="42" spans="1:19">
      <c r="A42" t="s">
        <v>237</v>
      </c>
      <c r="B42" s="1">
        <v>43700</v>
      </c>
      <c r="C42" s="2">
        <v>0.70833333333333337</v>
      </c>
      <c r="D42" s="1">
        <v>43701</v>
      </c>
      <c r="E42" s="2">
        <v>0.5625</v>
      </c>
      <c r="F42" t="s">
        <v>238</v>
      </c>
      <c r="G42" t="s">
        <v>216</v>
      </c>
      <c r="H42" t="str">
        <f t="shared" si="0"/>
        <v>Yes</v>
      </c>
      <c r="I42">
        <v>21</v>
      </c>
      <c r="J42" t="s">
        <v>217</v>
      </c>
      <c r="K42" t="s">
        <v>228</v>
      </c>
      <c r="L42" t="s">
        <v>228</v>
      </c>
      <c r="M42" s="1">
        <v>43021</v>
      </c>
      <c r="N42" t="s">
        <v>239</v>
      </c>
      <c r="O42" s="7">
        <v>215</v>
      </c>
      <c r="P42" s="7" t="s">
        <v>465</v>
      </c>
      <c r="Q42" s="7" t="s">
        <v>465</v>
      </c>
      <c r="R42">
        <v>98</v>
      </c>
      <c r="S42">
        <v>26</v>
      </c>
    </row>
    <row r="43" spans="1:19">
      <c r="A43" t="s">
        <v>226</v>
      </c>
      <c r="B43" s="1">
        <v>43703</v>
      </c>
      <c r="C43" s="2">
        <v>0.9375</v>
      </c>
      <c r="D43" s="1">
        <v>43704</v>
      </c>
      <c r="E43" s="2">
        <v>0.79166666666666663</v>
      </c>
      <c r="F43" t="s">
        <v>242</v>
      </c>
      <c r="G43" t="s">
        <v>235</v>
      </c>
      <c r="H43" t="str">
        <f t="shared" si="0"/>
        <v>Yes</v>
      </c>
      <c r="I43">
        <v>21</v>
      </c>
      <c r="J43" t="s">
        <v>217</v>
      </c>
      <c r="K43" t="s">
        <v>228</v>
      </c>
      <c r="L43" t="s">
        <v>228</v>
      </c>
      <c r="M43" s="1">
        <v>43021</v>
      </c>
      <c r="N43" t="s">
        <v>229</v>
      </c>
      <c r="O43" s="7">
        <v>267</v>
      </c>
      <c r="P43" s="7" t="s">
        <v>465</v>
      </c>
      <c r="Q43" s="7" t="s">
        <v>465</v>
      </c>
      <c r="R43">
        <v>175</v>
      </c>
      <c r="S43">
        <v>43</v>
      </c>
    </row>
    <row r="44" spans="1:19">
      <c r="A44" t="s">
        <v>237</v>
      </c>
      <c r="B44" s="1">
        <v>43707</v>
      </c>
      <c r="C44" s="2">
        <v>0.70833333333333337</v>
      </c>
      <c r="D44" s="1">
        <v>43708</v>
      </c>
      <c r="E44" s="2">
        <v>0.5625</v>
      </c>
      <c r="F44" t="s">
        <v>238</v>
      </c>
      <c r="G44" t="s">
        <v>216</v>
      </c>
      <c r="H44" t="str">
        <f t="shared" si="0"/>
        <v>Yes</v>
      </c>
      <c r="I44">
        <v>21</v>
      </c>
      <c r="J44" t="s">
        <v>217</v>
      </c>
      <c r="K44" t="s">
        <v>228</v>
      </c>
      <c r="L44" t="s">
        <v>228</v>
      </c>
      <c r="M44" s="1">
        <v>43021</v>
      </c>
      <c r="N44" t="s">
        <v>239</v>
      </c>
      <c r="O44" s="7">
        <v>215</v>
      </c>
      <c r="P44" s="7" t="s">
        <v>465</v>
      </c>
      <c r="Q44" s="7" t="s">
        <v>465</v>
      </c>
      <c r="R44">
        <v>98</v>
      </c>
      <c r="S44">
        <v>26</v>
      </c>
    </row>
    <row r="45" spans="1:19">
      <c r="A45" t="s">
        <v>254</v>
      </c>
      <c r="B45" s="1">
        <v>43709</v>
      </c>
      <c r="C45" s="2">
        <v>0.33333333333333331</v>
      </c>
      <c r="D45" s="1">
        <v>43709</v>
      </c>
      <c r="E45" s="2">
        <v>0.70833333333333337</v>
      </c>
      <c r="F45" t="s">
        <v>227</v>
      </c>
      <c r="G45" t="s">
        <v>227</v>
      </c>
      <c r="H45" t="str">
        <f t="shared" si="0"/>
        <v>No</v>
      </c>
      <c r="I45">
        <v>9</v>
      </c>
      <c r="J45" t="s">
        <v>231</v>
      </c>
      <c r="K45" t="s">
        <v>232</v>
      </c>
      <c r="L45" t="s">
        <v>255</v>
      </c>
      <c r="M45" s="1">
        <v>42808</v>
      </c>
      <c r="N45" t="s">
        <v>256</v>
      </c>
      <c r="O45" s="7">
        <v>114</v>
      </c>
      <c r="P45" s="7">
        <v>42</v>
      </c>
      <c r="Q45" s="7">
        <v>29</v>
      </c>
      <c r="R45">
        <v>4000</v>
      </c>
      <c r="S45">
        <v>1480</v>
      </c>
    </row>
    <row r="46" spans="1:19">
      <c r="A46" t="s">
        <v>221</v>
      </c>
      <c r="B46" s="1">
        <v>43711</v>
      </c>
      <c r="C46" s="2">
        <v>0.33333333333333331</v>
      </c>
      <c r="D46" s="1">
        <v>43711</v>
      </c>
      <c r="E46" s="2">
        <v>0.70833333333333337</v>
      </c>
      <c r="F46" t="s">
        <v>235</v>
      </c>
      <c r="G46" t="s">
        <v>235</v>
      </c>
      <c r="H46" t="str">
        <f t="shared" si="0"/>
        <v>No</v>
      </c>
      <c r="I46">
        <v>9</v>
      </c>
      <c r="J46" t="s">
        <v>33</v>
      </c>
      <c r="K46" t="s">
        <v>223</v>
      </c>
      <c r="L46" t="s">
        <v>224</v>
      </c>
      <c r="M46" s="1">
        <v>43237</v>
      </c>
      <c r="N46" t="s">
        <v>225</v>
      </c>
      <c r="O46" s="7">
        <v>965</v>
      </c>
      <c r="P46" s="7">
        <v>106</v>
      </c>
      <c r="Q46" s="7">
        <v>27</v>
      </c>
      <c r="R46">
        <v>2224</v>
      </c>
      <c r="S46">
        <v>1000</v>
      </c>
    </row>
    <row r="47" spans="1:19">
      <c r="A47" t="s">
        <v>257</v>
      </c>
      <c r="B47" s="1">
        <v>43712</v>
      </c>
      <c r="C47" s="2">
        <v>0.29166666666666669</v>
      </c>
      <c r="D47" s="1">
        <v>43712</v>
      </c>
      <c r="E47" s="2">
        <v>0.66666666666666663</v>
      </c>
      <c r="F47" t="s">
        <v>236</v>
      </c>
      <c r="G47" t="s">
        <v>236</v>
      </c>
      <c r="H47" t="str">
        <f t="shared" si="0"/>
        <v>No</v>
      </c>
      <c r="I47">
        <v>9</v>
      </c>
      <c r="J47" t="s">
        <v>33</v>
      </c>
      <c r="K47" t="s">
        <v>218</v>
      </c>
      <c r="L47" t="s">
        <v>258</v>
      </c>
      <c r="M47" s="1">
        <v>43257</v>
      </c>
      <c r="N47" t="s">
        <v>259</v>
      </c>
      <c r="O47" s="7">
        <v>936</v>
      </c>
      <c r="P47" s="7">
        <v>106</v>
      </c>
      <c r="Q47" s="7">
        <v>27</v>
      </c>
      <c r="R47" s="3">
        <v>1916</v>
      </c>
      <c r="S47">
        <v>812</v>
      </c>
    </row>
    <row r="48" spans="1:19">
      <c r="A48" t="s">
        <v>226</v>
      </c>
      <c r="B48" s="1">
        <v>43713</v>
      </c>
      <c r="C48" s="2">
        <v>0.9375</v>
      </c>
      <c r="D48" s="1">
        <v>43714</v>
      </c>
      <c r="E48" s="2">
        <v>0.79166666666666663</v>
      </c>
      <c r="F48" t="s">
        <v>222</v>
      </c>
      <c r="G48" t="s">
        <v>238</v>
      </c>
      <c r="H48" t="str">
        <f t="shared" si="0"/>
        <v>Yes</v>
      </c>
      <c r="I48">
        <v>21</v>
      </c>
      <c r="J48" t="s">
        <v>217</v>
      </c>
      <c r="K48" t="s">
        <v>228</v>
      </c>
      <c r="L48" t="s">
        <v>228</v>
      </c>
      <c r="M48" s="1">
        <v>43021</v>
      </c>
      <c r="N48" t="s">
        <v>229</v>
      </c>
      <c r="O48" s="7">
        <v>267</v>
      </c>
      <c r="P48" s="7" t="s">
        <v>465</v>
      </c>
      <c r="Q48" s="7" t="s">
        <v>465</v>
      </c>
      <c r="R48">
        <v>175</v>
      </c>
      <c r="S48">
        <v>43</v>
      </c>
    </row>
    <row r="49" spans="1:19">
      <c r="A49" t="s">
        <v>237</v>
      </c>
      <c r="B49" s="1">
        <v>43714</v>
      </c>
      <c r="C49" s="2">
        <v>0.70833333333333337</v>
      </c>
      <c r="D49" s="1">
        <v>43715</v>
      </c>
      <c r="E49" s="2">
        <v>0.5625</v>
      </c>
      <c r="F49" t="s">
        <v>238</v>
      </c>
      <c r="G49" t="s">
        <v>216</v>
      </c>
      <c r="H49" t="str">
        <f t="shared" si="0"/>
        <v>Yes</v>
      </c>
      <c r="I49">
        <v>21</v>
      </c>
      <c r="J49" t="s">
        <v>217</v>
      </c>
      <c r="K49" t="s">
        <v>228</v>
      </c>
      <c r="L49" t="s">
        <v>228</v>
      </c>
      <c r="M49" s="1">
        <v>43021</v>
      </c>
      <c r="N49" t="s">
        <v>239</v>
      </c>
      <c r="O49" s="7">
        <v>215</v>
      </c>
      <c r="P49" s="7" t="s">
        <v>465</v>
      </c>
      <c r="Q49" s="7" t="s">
        <v>465</v>
      </c>
      <c r="R49">
        <v>98</v>
      </c>
      <c r="S49">
        <v>26</v>
      </c>
    </row>
    <row r="50" spans="1:19">
      <c r="A50" t="s">
        <v>260</v>
      </c>
      <c r="B50" s="1">
        <v>43714</v>
      </c>
      <c r="C50" s="2">
        <v>0.79166666666666663</v>
      </c>
      <c r="D50" s="1">
        <v>43716</v>
      </c>
      <c r="E50" s="2">
        <v>0.79166666666666663</v>
      </c>
      <c r="F50" t="s">
        <v>238</v>
      </c>
      <c r="G50" t="s">
        <v>227</v>
      </c>
      <c r="H50" t="str">
        <f t="shared" si="0"/>
        <v>Yes</v>
      </c>
      <c r="I50">
        <v>48</v>
      </c>
      <c r="J50" t="s">
        <v>33</v>
      </c>
      <c r="K50" t="s">
        <v>223</v>
      </c>
      <c r="L50" t="s">
        <v>261</v>
      </c>
      <c r="M50" s="1">
        <v>43448</v>
      </c>
      <c r="N50" t="s">
        <v>262</v>
      </c>
      <c r="O50" s="7">
        <v>553</v>
      </c>
      <c r="P50" s="7">
        <v>70</v>
      </c>
      <c r="Q50" s="7">
        <v>17</v>
      </c>
      <c r="R50">
        <v>228</v>
      </c>
      <c r="S50">
        <v>172</v>
      </c>
    </row>
    <row r="51" spans="1:19">
      <c r="A51" t="s">
        <v>263</v>
      </c>
      <c r="B51" s="1">
        <v>43715</v>
      </c>
      <c r="C51" s="2">
        <v>0.29166666666666669</v>
      </c>
      <c r="D51" s="1">
        <v>43715</v>
      </c>
      <c r="E51" s="2">
        <v>0.70833333333333337</v>
      </c>
      <c r="F51" t="s">
        <v>216</v>
      </c>
      <c r="G51" t="s">
        <v>216</v>
      </c>
      <c r="H51" t="str">
        <f t="shared" si="0"/>
        <v>No</v>
      </c>
      <c r="I51">
        <v>10</v>
      </c>
      <c r="J51" t="s">
        <v>231</v>
      </c>
      <c r="K51" t="s">
        <v>223</v>
      </c>
      <c r="L51" t="s">
        <v>224</v>
      </c>
      <c r="M51" s="1">
        <v>43712</v>
      </c>
      <c r="N51" t="s">
        <v>264</v>
      </c>
      <c r="O51" s="7">
        <v>964</v>
      </c>
      <c r="P51" s="7">
        <v>106</v>
      </c>
      <c r="Q51" s="7">
        <v>58</v>
      </c>
      <c r="R51">
        <v>2394</v>
      </c>
      <c r="S51">
        <v>1101</v>
      </c>
    </row>
    <row r="52" spans="1:19">
      <c r="A52" t="s">
        <v>265</v>
      </c>
      <c r="B52" s="1">
        <v>43350</v>
      </c>
      <c r="C52" s="2">
        <v>0.33333333333333331</v>
      </c>
      <c r="D52" s="1">
        <v>43350</v>
      </c>
      <c r="E52" s="2">
        <v>0.79166666666666663</v>
      </c>
      <c r="F52" t="s">
        <v>216</v>
      </c>
      <c r="G52" t="s">
        <v>216</v>
      </c>
      <c r="H52" t="str">
        <f t="shared" si="0"/>
        <v>No</v>
      </c>
      <c r="I52">
        <v>11</v>
      </c>
      <c r="J52" t="s">
        <v>217</v>
      </c>
      <c r="K52" t="s">
        <v>223</v>
      </c>
      <c r="L52" t="s">
        <v>266</v>
      </c>
      <c r="M52" s="1">
        <v>43712</v>
      </c>
      <c r="N52" t="s">
        <v>267</v>
      </c>
      <c r="O52" s="7">
        <v>560</v>
      </c>
      <c r="P52" s="7">
        <v>81</v>
      </c>
      <c r="Q52" s="7">
        <v>21</v>
      </c>
      <c r="R52">
        <v>490</v>
      </c>
      <c r="S52">
        <v>324</v>
      </c>
    </row>
    <row r="53" spans="1:19">
      <c r="A53" t="s">
        <v>268</v>
      </c>
      <c r="B53" s="1">
        <v>43717</v>
      </c>
      <c r="C53" s="2">
        <v>0.29166666666666669</v>
      </c>
      <c r="D53" s="1">
        <v>43717</v>
      </c>
      <c r="E53" s="2">
        <v>0.66666666666666663</v>
      </c>
      <c r="F53" t="s">
        <v>242</v>
      </c>
      <c r="G53" t="s">
        <v>242</v>
      </c>
      <c r="H53" t="str">
        <f t="shared" si="0"/>
        <v>No</v>
      </c>
      <c r="I53">
        <v>9</v>
      </c>
      <c r="J53" t="s">
        <v>231</v>
      </c>
      <c r="K53" t="s">
        <v>232</v>
      </c>
      <c r="L53" t="s">
        <v>233</v>
      </c>
      <c r="M53" s="1">
        <v>42808</v>
      </c>
      <c r="N53" t="s">
        <v>269</v>
      </c>
      <c r="O53" s="7">
        <v>102</v>
      </c>
      <c r="P53" s="7">
        <v>127</v>
      </c>
      <c r="Q53" s="7">
        <v>28</v>
      </c>
      <c r="R53" s="3">
        <v>3114</v>
      </c>
      <c r="S53" s="3">
        <v>1185</v>
      </c>
    </row>
    <row r="54" spans="1:19">
      <c r="A54" t="s">
        <v>270</v>
      </c>
      <c r="B54" s="1">
        <v>43718</v>
      </c>
      <c r="C54" s="2">
        <v>0.33333333333333331</v>
      </c>
      <c r="D54" s="1">
        <v>43718</v>
      </c>
      <c r="E54" s="2">
        <v>0.83333333333333337</v>
      </c>
      <c r="F54" t="s">
        <v>235</v>
      </c>
      <c r="G54" t="s">
        <v>235</v>
      </c>
      <c r="H54" t="str">
        <f t="shared" si="0"/>
        <v>No</v>
      </c>
      <c r="I54">
        <v>12</v>
      </c>
      <c r="J54" t="s">
        <v>33</v>
      </c>
      <c r="K54" t="s">
        <v>223</v>
      </c>
      <c r="L54" t="s">
        <v>271</v>
      </c>
      <c r="M54" s="1">
        <v>43712</v>
      </c>
      <c r="N54" t="s">
        <v>272</v>
      </c>
      <c r="O54" s="7">
        <v>440</v>
      </c>
      <c r="P54" s="7">
        <v>63</v>
      </c>
      <c r="Q54" s="7" t="s">
        <v>465</v>
      </c>
      <c r="R54">
        <v>212</v>
      </c>
      <c r="S54">
        <v>143</v>
      </c>
    </row>
    <row r="55" spans="1:19">
      <c r="A55" t="s">
        <v>230</v>
      </c>
      <c r="B55" s="1">
        <v>43718</v>
      </c>
      <c r="C55" s="2">
        <v>0.33333333333333331</v>
      </c>
      <c r="D55" s="1">
        <v>43718</v>
      </c>
      <c r="E55" s="2">
        <v>0.70833333333333337</v>
      </c>
      <c r="F55" t="s">
        <v>235</v>
      </c>
      <c r="G55" t="s">
        <v>235</v>
      </c>
      <c r="H55" t="str">
        <f t="shared" si="0"/>
        <v>No</v>
      </c>
      <c r="I55">
        <v>9</v>
      </c>
      <c r="J55" t="s">
        <v>231</v>
      </c>
      <c r="K55" t="s">
        <v>232</v>
      </c>
      <c r="L55" t="s">
        <v>233</v>
      </c>
      <c r="M55" s="1">
        <v>42808</v>
      </c>
      <c r="N55" t="s">
        <v>234</v>
      </c>
      <c r="O55" s="7">
        <v>918</v>
      </c>
      <c r="P55" s="7">
        <v>106</v>
      </c>
      <c r="Q55" s="7">
        <v>26</v>
      </c>
      <c r="R55" s="3">
        <v>1950</v>
      </c>
      <c r="S55">
        <v>760</v>
      </c>
    </row>
    <row r="56" spans="1:19">
      <c r="A56" t="s">
        <v>240</v>
      </c>
      <c r="B56" s="1">
        <v>43719</v>
      </c>
      <c r="C56" s="2">
        <v>0.29166666666666669</v>
      </c>
      <c r="D56" s="1">
        <v>43719</v>
      </c>
      <c r="E56" s="2">
        <v>0.75</v>
      </c>
      <c r="F56" t="s">
        <v>236</v>
      </c>
      <c r="G56" t="s">
        <v>236</v>
      </c>
      <c r="H56" t="str">
        <f t="shared" si="0"/>
        <v>No</v>
      </c>
      <c r="I56">
        <v>11</v>
      </c>
      <c r="J56" t="s">
        <v>33</v>
      </c>
      <c r="K56" t="s">
        <v>232</v>
      </c>
      <c r="L56" t="s">
        <v>241</v>
      </c>
      <c r="M56" s="1">
        <v>42808</v>
      </c>
      <c r="N56" t="s">
        <v>225</v>
      </c>
      <c r="O56" s="7">
        <v>965</v>
      </c>
      <c r="P56" s="7">
        <v>106</v>
      </c>
      <c r="Q56" s="7">
        <v>27</v>
      </c>
      <c r="R56" s="3">
        <v>2038</v>
      </c>
      <c r="S56">
        <v>999</v>
      </c>
    </row>
    <row r="57" spans="1:19">
      <c r="A57" t="s">
        <v>273</v>
      </c>
      <c r="B57" s="1">
        <v>43719</v>
      </c>
      <c r="C57" s="2">
        <v>0.29166666666666669</v>
      </c>
      <c r="D57" s="1">
        <v>43719</v>
      </c>
      <c r="E57" s="2">
        <v>0.54166666666666663</v>
      </c>
      <c r="F57" t="s">
        <v>236</v>
      </c>
      <c r="G57" t="s">
        <v>236</v>
      </c>
      <c r="H57" t="str">
        <f t="shared" si="0"/>
        <v>No</v>
      </c>
      <c r="I57">
        <v>9</v>
      </c>
      <c r="J57" t="s">
        <v>231</v>
      </c>
      <c r="K57" t="s">
        <v>223</v>
      </c>
      <c r="L57" t="s">
        <v>224</v>
      </c>
      <c r="M57" s="1">
        <v>43278</v>
      </c>
      <c r="N57" t="s">
        <v>274</v>
      </c>
      <c r="O57" s="7">
        <v>106</v>
      </c>
      <c r="P57" s="7">
        <v>136</v>
      </c>
      <c r="Q57" s="7">
        <v>28</v>
      </c>
      <c r="R57">
        <v>4270</v>
      </c>
      <c r="S57">
        <v>1730</v>
      </c>
    </row>
    <row r="58" spans="1:19">
      <c r="A58" t="s">
        <v>237</v>
      </c>
      <c r="B58" s="1">
        <v>43721</v>
      </c>
      <c r="C58" s="2">
        <v>0.70833333333333337</v>
      </c>
      <c r="D58" s="1">
        <v>43722</v>
      </c>
      <c r="E58" s="2">
        <v>0.5625</v>
      </c>
      <c r="F58" t="s">
        <v>238</v>
      </c>
      <c r="G58" t="s">
        <v>216</v>
      </c>
      <c r="H58" t="str">
        <f t="shared" si="0"/>
        <v>Yes</v>
      </c>
      <c r="I58">
        <v>21</v>
      </c>
      <c r="J58" t="s">
        <v>217</v>
      </c>
      <c r="K58" t="s">
        <v>228</v>
      </c>
      <c r="L58" t="s">
        <v>228</v>
      </c>
      <c r="M58" s="1">
        <v>43021</v>
      </c>
      <c r="N58" t="s">
        <v>239</v>
      </c>
      <c r="O58" s="7">
        <v>215</v>
      </c>
      <c r="P58" s="7" t="s">
        <v>465</v>
      </c>
      <c r="Q58" s="7" t="s">
        <v>465</v>
      </c>
      <c r="R58">
        <v>98</v>
      </c>
      <c r="S58">
        <v>26</v>
      </c>
    </row>
    <row r="59" spans="1:19">
      <c r="A59" t="s">
        <v>270</v>
      </c>
      <c r="B59" s="1">
        <v>43722</v>
      </c>
      <c r="C59" s="2">
        <v>0.41666666666666669</v>
      </c>
      <c r="D59" s="1">
        <v>43722</v>
      </c>
      <c r="E59" s="2">
        <v>0.75</v>
      </c>
      <c r="F59" t="s">
        <v>216</v>
      </c>
      <c r="G59" t="s">
        <v>216</v>
      </c>
      <c r="H59" t="str">
        <f t="shared" si="0"/>
        <v>No</v>
      </c>
      <c r="I59">
        <v>8</v>
      </c>
      <c r="J59" t="s">
        <v>33</v>
      </c>
      <c r="K59" t="s">
        <v>223</v>
      </c>
      <c r="L59" t="s">
        <v>271</v>
      </c>
      <c r="M59" s="1">
        <v>43447</v>
      </c>
      <c r="N59" t="s">
        <v>272</v>
      </c>
      <c r="O59" s="7">
        <v>440</v>
      </c>
      <c r="P59" s="7">
        <v>63</v>
      </c>
      <c r="Q59" s="7" t="s">
        <v>465</v>
      </c>
      <c r="R59">
        <v>212</v>
      </c>
      <c r="S59">
        <v>143</v>
      </c>
    </row>
    <row r="60" spans="1:19">
      <c r="A60" t="s">
        <v>254</v>
      </c>
      <c r="B60" s="1">
        <v>43723</v>
      </c>
      <c r="C60" s="2">
        <v>0.33333333333333331</v>
      </c>
      <c r="D60" s="1">
        <v>43723</v>
      </c>
      <c r="E60" s="2">
        <v>0.70833333333333337</v>
      </c>
      <c r="F60" t="s">
        <v>227</v>
      </c>
      <c r="G60" t="s">
        <v>227</v>
      </c>
      <c r="H60" t="str">
        <f t="shared" si="0"/>
        <v>No</v>
      </c>
      <c r="I60">
        <v>9</v>
      </c>
      <c r="J60" t="s">
        <v>231</v>
      </c>
      <c r="K60" t="s">
        <v>232</v>
      </c>
      <c r="L60" t="s">
        <v>255</v>
      </c>
      <c r="M60" s="1">
        <v>42808</v>
      </c>
      <c r="N60" t="s">
        <v>275</v>
      </c>
      <c r="O60" s="7">
        <v>114</v>
      </c>
      <c r="P60" s="7">
        <v>42</v>
      </c>
      <c r="Q60" s="7">
        <v>29</v>
      </c>
      <c r="R60">
        <v>4000</v>
      </c>
      <c r="S60">
        <v>1480</v>
      </c>
    </row>
    <row r="61" spans="1:19">
      <c r="A61" t="s">
        <v>226</v>
      </c>
      <c r="B61" s="1">
        <v>43723</v>
      </c>
      <c r="C61" s="2">
        <v>0.9375</v>
      </c>
      <c r="D61" s="1">
        <v>43724</v>
      </c>
      <c r="E61" s="2">
        <v>0.79166666666666663</v>
      </c>
      <c r="F61" t="s">
        <v>227</v>
      </c>
      <c r="G61" t="s">
        <v>242</v>
      </c>
      <c r="H61" t="str">
        <f t="shared" si="0"/>
        <v>Yes</v>
      </c>
      <c r="I61">
        <v>21</v>
      </c>
      <c r="J61" t="s">
        <v>217</v>
      </c>
      <c r="K61" t="s">
        <v>228</v>
      </c>
      <c r="L61" t="s">
        <v>228</v>
      </c>
      <c r="M61" s="1">
        <v>43021</v>
      </c>
      <c r="N61" t="s">
        <v>229</v>
      </c>
      <c r="O61" s="7">
        <v>267</v>
      </c>
      <c r="P61" s="7" t="s">
        <v>465</v>
      </c>
      <c r="Q61" s="7" t="s">
        <v>465</v>
      </c>
      <c r="R61">
        <v>175</v>
      </c>
      <c r="S61">
        <v>43</v>
      </c>
    </row>
    <row r="62" spans="1:19">
      <c r="A62" t="s">
        <v>276</v>
      </c>
      <c r="B62" s="1">
        <v>43724</v>
      </c>
      <c r="C62" s="2">
        <v>0.29166666666666669</v>
      </c>
      <c r="D62" s="1">
        <v>43724</v>
      </c>
      <c r="E62" s="2">
        <v>0.75</v>
      </c>
      <c r="F62" t="s">
        <v>242</v>
      </c>
      <c r="G62" t="s">
        <v>242</v>
      </c>
      <c r="H62" t="str">
        <f t="shared" ref="H62:H108" si="1">IF(F62=G62,"No","Yes")</f>
        <v>No</v>
      </c>
      <c r="I62">
        <v>11</v>
      </c>
      <c r="J62" t="s">
        <v>231</v>
      </c>
      <c r="K62" t="s">
        <v>232</v>
      </c>
      <c r="L62" t="s">
        <v>233</v>
      </c>
      <c r="M62" s="1">
        <v>42808</v>
      </c>
      <c r="N62" t="s">
        <v>277</v>
      </c>
      <c r="O62" s="7">
        <v>963</v>
      </c>
      <c r="P62" s="7">
        <v>106</v>
      </c>
      <c r="Q62" s="7">
        <v>28</v>
      </c>
      <c r="R62" s="3">
        <v>2100</v>
      </c>
      <c r="S62">
        <v>869</v>
      </c>
    </row>
    <row r="63" spans="1:19">
      <c r="A63" t="s">
        <v>273</v>
      </c>
      <c r="B63" s="1">
        <v>43725</v>
      </c>
      <c r="C63" s="2">
        <v>0.33333333333333331</v>
      </c>
      <c r="D63" s="1">
        <v>43725</v>
      </c>
      <c r="E63" s="2">
        <v>0.70833333333333337</v>
      </c>
      <c r="F63" t="s">
        <v>235</v>
      </c>
      <c r="G63" t="s">
        <v>235</v>
      </c>
      <c r="H63" t="str">
        <f t="shared" si="1"/>
        <v>No</v>
      </c>
      <c r="I63">
        <v>9</v>
      </c>
      <c r="J63" t="s">
        <v>231</v>
      </c>
      <c r="K63" t="s">
        <v>223</v>
      </c>
      <c r="L63" t="s">
        <v>224</v>
      </c>
      <c r="M63" s="1">
        <v>42964</v>
      </c>
      <c r="N63" t="s">
        <v>274</v>
      </c>
      <c r="O63" s="7">
        <v>106</v>
      </c>
      <c r="P63" s="7">
        <v>136</v>
      </c>
      <c r="Q63" s="7">
        <v>28</v>
      </c>
      <c r="R63">
        <v>4270</v>
      </c>
      <c r="S63">
        <v>1730</v>
      </c>
    </row>
    <row r="64" spans="1:19">
      <c r="A64" t="s">
        <v>221</v>
      </c>
      <c r="B64" s="1">
        <v>43726</v>
      </c>
      <c r="C64" s="2">
        <v>0.33333333333333331</v>
      </c>
      <c r="D64" s="1">
        <v>43726</v>
      </c>
      <c r="E64" s="2">
        <v>0.70833333333333337</v>
      </c>
      <c r="F64" t="s">
        <v>236</v>
      </c>
      <c r="G64" t="s">
        <v>236</v>
      </c>
      <c r="H64" t="str">
        <f t="shared" si="1"/>
        <v>No</v>
      </c>
      <c r="I64">
        <v>9</v>
      </c>
      <c r="J64" t="s">
        <v>33</v>
      </c>
      <c r="K64" t="s">
        <v>223</v>
      </c>
      <c r="L64" t="s">
        <v>224</v>
      </c>
      <c r="M64" s="1">
        <v>43237</v>
      </c>
      <c r="N64" t="s">
        <v>225</v>
      </c>
      <c r="O64" s="7">
        <v>965</v>
      </c>
      <c r="P64" s="7">
        <v>106</v>
      </c>
      <c r="Q64" s="7">
        <v>27</v>
      </c>
      <c r="R64">
        <v>2224</v>
      </c>
      <c r="S64">
        <v>1000</v>
      </c>
    </row>
    <row r="65" spans="1:19">
      <c r="A65" t="s">
        <v>237</v>
      </c>
      <c r="B65" s="1">
        <v>43728</v>
      </c>
      <c r="C65" s="2">
        <v>0.70833333333333337</v>
      </c>
      <c r="D65" s="1">
        <v>43729</v>
      </c>
      <c r="E65" s="2">
        <v>0.5625</v>
      </c>
      <c r="F65" t="s">
        <v>238</v>
      </c>
      <c r="G65" t="s">
        <v>216</v>
      </c>
      <c r="H65" t="str">
        <f t="shared" si="1"/>
        <v>Yes</v>
      </c>
      <c r="I65">
        <v>21</v>
      </c>
      <c r="J65" t="s">
        <v>217</v>
      </c>
      <c r="K65" t="s">
        <v>228</v>
      </c>
      <c r="L65" t="s">
        <v>228</v>
      </c>
      <c r="M65" s="1">
        <v>43187</v>
      </c>
      <c r="N65" t="s">
        <v>239</v>
      </c>
      <c r="O65" s="7">
        <v>215</v>
      </c>
      <c r="P65" s="7" t="s">
        <v>465</v>
      </c>
      <c r="Q65" s="7" t="s">
        <v>465</v>
      </c>
      <c r="R65">
        <v>98</v>
      </c>
      <c r="S65">
        <v>26</v>
      </c>
    </row>
    <row r="66" spans="1:19">
      <c r="A66" t="s">
        <v>278</v>
      </c>
      <c r="B66" s="1">
        <v>43729</v>
      </c>
      <c r="C66" s="2">
        <v>0.33333333333333331</v>
      </c>
      <c r="D66" s="1">
        <v>43729</v>
      </c>
      <c r="E66" s="2">
        <v>0.77083333333333337</v>
      </c>
      <c r="F66" t="s">
        <v>216</v>
      </c>
      <c r="G66" t="s">
        <v>216</v>
      </c>
      <c r="H66" t="str">
        <f t="shared" si="1"/>
        <v>No</v>
      </c>
      <c r="I66">
        <v>10</v>
      </c>
      <c r="J66" t="s">
        <v>231</v>
      </c>
      <c r="K66" t="s">
        <v>218</v>
      </c>
      <c r="L66" t="s">
        <v>279</v>
      </c>
      <c r="M66" s="1">
        <v>42886</v>
      </c>
      <c r="N66" t="s">
        <v>280</v>
      </c>
      <c r="O66" s="7">
        <v>885</v>
      </c>
      <c r="P66" s="7">
        <v>106</v>
      </c>
      <c r="Q66" s="7">
        <v>26</v>
      </c>
      <c r="R66">
        <v>1799</v>
      </c>
      <c r="S66">
        <v>936</v>
      </c>
    </row>
    <row r="67" spans="1:19">
      <c r="A67" t="s">
        <v>268</v>
      </c>
      <c r="B67" s="1">
        <v>43730</v>
      </c>
      <c r="C67" s="2">
        <v>0.39583333333333331</v>
      </c>
      <c r="D67" s="1">
        <v>43731</v>
      </c>
      <c r="E67" s="2">
        <v>0.75</v>
      </c>
      <c r="F67" t="s">
        <v>227</v>
      </c>
      <c r="G67" t="s">
        <v>242</v>
      </c>
      <c r="H67" t="str">
        <f t="shared" si="1"/>
        <v>Yes</v>
      </c>
      <c r="I67">
        <v>32</v>
      </c>
      <c r="J67" t="s">
        <v>231</v>
      </c>
      <c r="K67" t="s">
        <v>232</v>
      </c>
      <c r="L67" t="s">
        <v>233</v>
      </c>
      <c r="M67" s="1">
        <v>43490</v>
      </c>
      <c r="N67" t="s">
        <v>269</v>
      </c>
      <c r="O67" s="7">
        <v>102</v>
      </c>
      <c r="P67" s="7">
        <v>127</v>
      </c>
      <c r="Q67" s="7">
        <v>28</v>
      </c>
      <c r="R67" s="3">
        <v>3114</v>
      </c>
      <c r="S67" s="3">
        <v>1185</v>
      </c>
    </row>
    <row r="68" spans="1:19">
      <c r="A68" t="s">
        <v>276</v>
      </c>
      <c r="B68" s="1">
        <v>43731</v>
      </c>
      <c r="C68" s="2">
        <v>0.33333333333333331</v>
      </c>
      <c r="D68" s="1">
        <v>43731</v>
      </c>
      <c r="E68" s="2">
        <v>0.70833333333333337</v>
      </c>
      <c r="F68" t="s">
        <v>242</v>
      </c>
      <c r="G68" t="s">
        <v>242</v>
      </c>
      <c r="H68" t="str">
        <f t="shared" si="1"/>
        <v>No</v>
      </c>
      <c r="I68">
        <v>11</v>
      </c>
      <c r="J68" t="s">
        <v>281</v>
      </c>
      <c r="K68" t="s">
        <v>232</v>
      </c>
      <c r="L68" t="s">
        <v>233</v>
      </c>
      <c r="M68" s="1">
        <v>43728</v>
      </c>
      <c r="N68" t="s">
        <v>277</v>
      </c>
      <c r="O68" s="7">
        <v>963</v>
      </c>
      <c r="P68" s="7">
        <v>106</v>
      </c>
      <c r="Q68" s="7">
        <v>28</v>
      </c>
      <c r="R68" s="3">
        <v>2100</v>
      </c>
      <c r="S68">
        <v>869</v>
      </c>
    </row>
    <row r="69" spans="1:19">
      <c r="A69" t="s">
        <v>257</v>
      </c>
      <c r="B69" s="1">
        <v>43731</v>
      </c>
      <c r="C69" s="2">
        <v>0.33333333333333331</v>
      </c>
      <c r="D69" s="1">
        <v>43731</v>
      </c>
      <c r="E69" s="2">
        <v>0.75</v>
      </c>
      <c r="F69" t="s">
        <v>242</v>
      </c>
      <c r="G69" t="s">
        <v>242</v>
      </c>
      <c r="H69" t="str">
        <f t="shared" si="1"/>
        <v>No</v>
      </c>
      <c r="I69">
        <v>10</v>
      </c>
      <c r="J69" t="s">
        <v>33</v>
      </c>
      <c r="K69" t="s">
        <v>218</v>
      </c>
      <c r="L69" t="s">
        <v>258</v>
      </c>
      <c r="M69" s="1">
        <v>43203</v>
      </c>
      <c r="N69" t="s">
        <v>282</v>
      </c>
      <c r="O69" s="7">
        <v>935</v>
      </c>
      <c r="P69" s="7">
        <v>106</v>
      </c>
      <c r="Q69" s="7">
        <v>26</v>
      </c>
      <c r="R69" s="3">
        <v>1805</v>
      </c>
      <c r="S69">
        <v>812</v>
      </c>
    </row>
    <row r="70" spans="1:19">
      <c r="A70" t="s">
        <v>273</v>
      </c>
      <c r="B70" s="1">
        <v>43732</v>
      </c>
      <c r="C70" s="2">
        <v>0.33333333333333331</v>
      </c>
      <c r="D70" s="1">
        <v>43732</v>
      </c>
      <c r="E70" s="2">
        <v>0.70833333333333337</v>
      </c>
      <c r="F70" t="s">
        <v>235</v>
      </c>
      <c r="G70" t="s">
        <v>235</v>
      </c>
      <c r="H70" t="str">
        <f t="shared" si="1"/>
        <v>No</v>
      </c>
      <c r="I70">
        <v>9</v>
      </c>
      <c r="J70" t="s">
        <v>231</v>
      </c>
      <c r="K70" t="s">
        <v>223</v>
      </c>
      <c r="L70" t="s">
        <v>224</v>
      </c>
      <c r="M70" s="1">
        <v>42964</v>
      </c>
      <c r="N70" t="s">
        <v>274</v>
      </c>
      <c r="O70" s="7">
        <v>106</v>
      </c>
      <c r="P70" s="7">
        <v>136</v>
      </c>
      <c r="Q70" s="7">
        <v>28</v>
      </c>
      <c r="R70">
        <v>4270</v>
      </c>
      <c r="S70">
        <v>1730</v>
      </c>
    </row>
    <row r="71" spans="1:19">
      <c r="A71" t="s">
        <v>240</v>
      </c>
      <c r="B71" s="1">
        <v>43733</v>
      </c>
      <c r="C71" s="2">
        <v>0.29166666666666669</v>
      </c>
      <c r="D71" s="1">
        <v>43733</v>
      </c>
      <c r="E71" s="2">
        <v>0.75</v>
      </c>
      <c r="F71" t="s">
        <v>236</v>
      </c>
      <c r="G71" t="s">
        <v>236</v>
      </c>
      <c r="H71" t="str">
        <f t="shared" si="1"/>
        <v>No</v>
      </c>
      <c r="I71">
        <v>11</v>
      </c>
      <c r="J71" t="s">
        <v>231</v>
      </c>
      <c r="K71" t="s">
        <v>232</v>
      </c>
      <c r="L71" t="s">
        <v>241</v>
      </c>
      <c r="M71" s="1">
        <v>42808</v>
      </c>
      <c r="N71" t="s">
        <v>225</v>
      </c>
      <c r="O71" s="7">
        <v>965</v>
      </c>
      <c r="P71" s="7">
        <v>106</v>
      </c>
      <c r="Q71" s="7">
        <v>27</v>
      </c>
      <c r="R71" s="3">
        <v>2038</v>
      </c>
      <c r="S71">
        <v>999</v>
      </c>
    </row>
    <row r="72" spans="1:19">
      <c r="A72" t="s">
        <v>215</v>
      </c>
      <c r="B72" s="1">
        <v>43733</v>
      </c>
      <c r="C72" s="2">
        <v>0.25</v>
      </c>
      <c r="D72" s="1">
        <v>43733</v>
      </c>
      <c r="E72" s="2">
        <v>0.625</v>
      </c>
      <c r="F72" t="s">
        <v>236</v>
      </c>
      <c r="G72" t="s">
        <v>236</v>
      </c>
      <c r="H72" t="str">
        <f t="shared" si="1"/>
        <v>No</v>
      </c>
      <c r="I72">
        <v>9</v>
      </c>
      <c r="J72" t="s">
        <v>217</v>
      </c>
      <c r="K72" t="s">
        <v>218</v>
      </c>
      <c r="L72" t="s">
        <v>219</v>
      </c>
      <c r="M72" s="1">
        <v>42885</v>
      </c>
      <c r="N72" t="s">
        <v>220</v>
      </c>
      <c r="O72" s="7">
        <v>335</v>
      </c>
      <c r="P72" s="7">
        <v>56</v>
      </c>
      <c r="Q72" s="7">
        <v>12</v>
      </c>
      <c r="R72">
        <v>197</v>
      </c>
      <c r="S72">
        <v>65</v>
      </c>
    </row>
    <row r="73" spans="1:19">
      <c r="A73" t="s">
        <v>237</v>
      </c>
      <c r="B73" s="1">
        <v>43734</v>
      </c>
      <c r="C73" s="2">
        <v>0.89583333333333337</v>
      </c>
      <c r="D73" s="1">
        <v>43735</v>
      </c>
      <c r="E73" s="2">
        <v>0.5625</v>
      </c>
      <c r="F73" t="s">
        <v>222</v>
      </c>
      <c r="G73" t="s">
        <v>238</v>
      </c>
      <c r="H73" t="str">
        <f t="shared" si="1"/>
        <v>Yes</v>
      </c>
      <c r="I73">
        <v>21</v>
      </c>
      <c r="J73" t="s">
        <v>217</v>
      </c>
      <c r="K73" t="s">
        <v>228</v>
      </c>
      <c r="L73" t="s">
        <v>228</v>
      </c>
      <c r="M73" s="1">
        <v>43187</v>
      </c>
      <c r="N73" t="s">
        <v>239</v>
      </c>
      <c r="O73" s="7">
        <v>215</v>
      </c>
      <c r="P73" s="7" t="s">
        <v>465</v>
      </c>
      <c r="Q73" s="7" t="s">
        <v>465</v>
      </c>
      <c r="R73">
        <v>98</v>
      </c>
      <c r="S73">
        <v>26</v>
      </c>
    </row>
    <row r="74" spans="1:19">
      <c r="A74" t="s">
        <v>283</v>
      </c>
      <c r="B74" s="1">
        <v>43734</v>
      </c>
      <c r="C74" s="2">
        <v>0.35416666666666669</v>
      </c>
      <c r="D74" s="1">
        <v>43734</v>
      </c>
      <c r="E74" s="2">
        <v>0.75</v>
      </c>
      <c r="F74" t="s">
        <v>222</v>
      </c>
      <c r="G74" t="s">
        <v>222</v>
      </c>
      <c r="H74" t="str">
        <f t="shared" si="1"/>
        <v>No</v>
      </c>
      <c r="I74">
        <v>9.5</v>
      </c>
      <c r="J74" t="s">
        <v>33</v>
      </c>
      <c r="K74" t="s">
        <v>223</v>
      </c>
      <c r="L74" t="s">
        <v>284</v>
      </c>
      <c r="M74" s="1">
        <v>43545</v>
      </c>
      <c r="N74" t="s">
        <v>285</v>
      </c>
      <c r="O74" s="7">
        <v>893</v>
      </c>
      <c r="P74" s="7">
        <v>116</v>
      </c>
      <c r="Q74" s="7">
        <v>27</v>
      </c>
      <c r="R74">
        <v>3143</v>
      </c>
      <c r="S74">
        <v>1100</v>
      </c>
    </row>
    <row r="75" spans="1:19">
      <c r="A75" t="s">
        <v>221</v>
      </c>
      <c r="B75" s="1">
        <v>43735</v>
      </c>
      <c r="C75" s="2">
        <v>0.33333333333333331</v>
      </c>
      <c r="D75" s="1">
        <v>43735</v>
      </c>
      <c r="E75" s="2">
        <v>0.70833333333333337</v>
      </c>
      <c r="F75" t="s">
        <v>238</v>
      </c>
      <c r="G75" t="s">
        <v>238</v>
      </c>
      <c r="H75" t="str">
        <f t="shared" si="1"/>
        <v>No</v>
      </c>
      <c r="I75">
        <v>9</v>
      </c>
      <c r="J75" t="s">
        <v>231</v>
      </c>
      <c r="K75" t="s">
        <v>223</v>
      </c>
      <c r="L75" t="s">
        <v>224</v>
      </c>
      <c r="M75" s="1">
        <v>43237</v>
      </c>
      <c r="N75" t="s">
        <v>225</v>
      </c>
      <c r="O75" s="7">
        <v>965</v>
      </c>
      <c r="P75" s="7">
        <v>106</v>
      </c>
      <c r="Q75" s="7">
        <v>27</v>
      </c>
      <c r="R75">
        <v>2224</v>
      </c>
      <c r="S75">
        <v>1000</v>
      </c>
    </row>
    <row r="76" spans="1:19">
      <c r="A76" t="s">
        <v>286</v>
      </c>
      <c r="B76" s="1">
        <v>43735</v>
      </c>
      <c r="C76" s="2">
        <v>0.33333333333333331</v>
      </c>
      <c r="D76" s="1">
        <v>43735</v>
      </c>
      <c r="E76" s="2">
        <v>0.70833333333333337</v>
      </c>
      <c r="F76" t="s">
        <v>238</v>
      </c>
      <c r="G76" t="s">
        <v>238</v>
      </c>
      <c r="H76" t="str">
        <f t="shared" si="1"/>
        <v>No</v>
      </c>
      <c r="I76">
        <v>9</v>
      </c>
      <c r="J76" t="s">
        <v>33</v>
      </c>
      <c r="K76" t="s">
        <v>248</v>
      </c>
      <c r="L76" t="s">
        <v>249</v>
      </c>
      <c r="M76" s="1">
        <v>42995</v>
      </c>
      <c r="N76" t="s">
        <v>287</v>
      </c>
      <c r="O76" s="7">
        <v>827</v>
      </c>
      <c r="P76" s="7">
        <v>106</v>
      </c>
      <c r="Q76" s="7">
        <v>23</v>
      </c>
      <c r="R76">
        <v>2050</v>
      </c>
      <c r="S76">
        <v>607</v>
      </c>
    </row>
    <row r="77" spans="1:19">
      <c r="A77" t="s">
        <v>254</v>
      </c>
      <c r="B77" s="1">
        <v>43737</v>
      </c>
      <c r="C77" s="2">
        <v>0.33333333333333331</v>
      </c>
      <c r="D77" s="1">
        <v>43737</v>
      </c>
      <c r="E77" s="2">
        <v>0.70833333333333337</v>
      </c>
      <c r="F77" t="s">
        <v>227</v>
      </c>
      <c r="G77" t="s">
        <v>227</v>
      </c>
      <c r="H77" t="str">
        <f t="shared" si="1"/>
        <v>No</v>
      </c>
      <c r="I77">
        <v>9</v>
      </c>
      <c r="J77" t="s">
        <v>231</v>
      </c>
      <c r="K77" t="s">
        <v>232</v>
      </c>
      <c r="L77" t="s">
        <v>255</v>
      </c>
      <c r="M77" s="1">
        <v>42808</v>
      </c>
      <c r="N77" t="s">
        <v>275</v>
      </c>
      <c r="O77" s="7">
        <v>114</v>
      </c>
      <c r="P77" s="7">
        <v>42</v>
      </c>
      <c r="Q77" s="7">
        <v>29</v>
      </c>
      <c r="R77">
        <v>4000</v>
      </c>
      <c r="S77">
        <v>1480</v>
      </c>
    </row>
    <row r="78" spans="1:19">
      <c r="A78" t="s">
        <v>268</v>
      </c>
      <c r="B78" s="1">
        <v>43738</v>
      </c>
      <c r="C78" s="2">
        <v>0.29166666666666669</v>
      </c>
      <c r="D78" s="1">
        <v>43738</v>
      </c>
      <c r="E78" s="2">
        <v>0.66666666666666663</v>
      </c>
      <c r="F78" t="s">
        <v>242</v>
      </c>
      <c r="G78" t="s">
        <v>242</v>
      </c>
      <c r="H78" t="str">
        <f t="shared" si="1"/>
        <v>No</v>
      </c>
      <c r="I78">
        <v>9</v>
      </c>
      <c r="J78" t="s">
        <v>231</v>
      </c>
      <c r="K78" t="s">
        <v>232</v>
      </c>
      <c r="L78" t="s">
        <v>233</v>
      </c>
      <c r="M78" s="1">
        <v>42808</v>
      </c>
      <c r="N78" t="s">
        <v>269</v>
      </c>
      <c r="O78" s="7">
        <v>102</v>
      </c>
      <c r="P78" s="7">
        <v>127</v>
      </c>
      <c r="Q78" s="7">
        <v>28</v>
      </c>
      <c r="R78" s="3">
        <v>3114</v>
      </c>
      <c r="S78" s="3">
        <v>1185</v>
      </c>
    </row>
    <row r="79" spans="1:19">
      <c r="A79" t="s">
        <v>257</v>
      </c>
      <c r="B79" s="1">
        <v>43739</v>
      </c>
      <c r="C79" s="2">
        <v>0.29166666666666669</v>
      </c>
      <c r="D79" s="1">
        <v>43739</v>
      </c>
      <c r="E79" s="2">
        <v>0.70833333333333337</v>
      </c>
      <c r="F79" t="s">
        <v>235</v>
      </c>
      <c r="G79" t="s">
        <v>235</v>
      </c>
      <c r="H79" t="str">
        <f t="shared" si="1"/>
        <v>No</v>
      </c>
      <c r="I79">
        <v>9</v>
      </c>
      <c r="J79" t="s">
        <v>33</v>
      </c>
      <c r="K79" t="s">
        <v>218</v>
      </c>
      <c r="L79" t="s">
        <v>258</v>
      </c>
      <c r="M79" s="1">
        <v>43207</v>
      </c>
      <c r="N79" t="s">
        <v>282</v>
      </c>
      <c r="O79" s="7">
        <v>935</v>
      </c>
      <c r="P79" s="7">
        <v>106</v>
      </c>
      <c r="Q79" s="7">
        <v>26</v>
      </c>
      <c r="R79" s="3">
        <v>1805</v>
      </c>
      <c r="S79">
        <v>812</v>
      </c>
    </row>
    <row r="80" spans="1:19">
      <c r="A80" t="s">
        <v>283</v>
      </c>
      <c r="B80" s="1">
        <v>43740</v>
      </c>
      <c r="C80" s="2">
        <v>0.29166666666666669</v>
      </c>
      <c r="D80" s="1">
        <v>43740</v>
      </c>
      <c r="E80" s="2">
        <v>0.70833333333333337</v>
      </c>
      <c r="F80" t="s">
        <v>236</v>
      </c>
      <c r="G80" t="s">
        <v>236</v>
      </c>
      <c r="H80" t="str">
        <f t="shared" si="1"/>
        <v>No</v>
      </c>
      <c r="I80">
        <v>10</v>
      </c>
      <c r="J80" t="s">
        <v>231</v>
      </c>
      <c r="K80" t="s">
        <v>284</v>
      </c>
      <c r="L80" t="s">
        <v>284</v>
      </c>
      <c r="M80" s="1">
        <v>43028</v>
      </c>
      <c r="N80" t="s">
        <v>314</v>
      </c>
      <c r="O80" s="7">
        <v>105</v>
      </c>
      <c r="P80" s="7">
        <v>121</v>
      </c>
      <c r="Q80" s="7">
        <v>27</v>
      </c>
      <c r="R80">
        <v>4716</v>
      </c>
      <c r="S80">
        <v>1450</v>
      </c>
    </row>
    <row r="81" spans="1:19">
      <c r="A81" t="s">
        <v>288</v>
      </c>
      <c r="B81" s="1">
        <v>43740</v>
      </c>
      <c r="C81" s="2">
        <v>0.25</v>
      </c>
      <c r="D81" s="1">
        <v>43740</v>
      </c>
      <c r="E81" s="2">
        <v>0.70833333333333337</v>
      </c>
      <c r="F81" t="s">
        <v>236</v>
      </c>
      <c r="G81" t="s">
        <v>236</v>
      </c>
      <c r="H81" t="str">
        <f t="shared" si="1"/>
        <v>No</v>
      </c>
      <c r="I81">
        <v>11</v>
      </c>
      <c r="J81" t="s">
        <v>33</v>
      </c>
      <c r="K81" t="s">
        <v>218</v>
      </c>
      <c r="L81" t="s">
        <v>289</v>
      </c>
      <c r="M81" s="1">
        <v>42983</v>
      </c>
      <c r="N81" t="s">
        <v>290</v>
      </c>
      <c r="O81" s="7">
        <v>514</v>
      </c>
      <c r="P81" s="7">
        <v>71</v>
      </c>
      <c r="Q81" s="7">
        <v>18</v>
      </c>
      <c r="R81">
        <v>296</v>
      </c>
      <c r="S81">
        <v>222</v>
      </c>
    </row>
    <row r="82" spans="1:19">
      <c r="A82" t="s">
        <v>263</v>
      </c>
      <c r="B82" s="1">
        <v>43741</v>
      </c>
      <c r="C82" s="2">
        <v>0.33333333333333331</v>
      </c>
      <c r="D82" s="1">
        <v>43741</v>
      </c>
      <c r="E82" s="2">
        <v>0.70833333333333337</v>
      </c>
      <c r="F82" t="s">
        <v>222</v>
      </c>
      <c r="G82" t="s">
        <v>222</v>
      </c>
      <c r="H82" t="str">
        <f t="shared" si="1"/>
        <v>No</v>
      </c>
      <c r="I82">
        <v>9</v>
      </c>
      <c r="J82" t="s">
        <v>33</v>
      </c>
      <c r="K82" t="s">
        <v>223</v>
      </c>
      <c r="L82" t="s">
        <v>224</v>
      </c>
      <c r="M82" s="1">
        <v>43279</v>
      </c>
      <c r="N82" t="s">
        <v>264</v>
      </c>
      <c r="O82" s="7">
        <v>964</v>
      </c>
      <c r="P82" s="7">
        <v>106</v>
      </c>
      <c r="Q82" s="7">
        <v>58</v>
      </c>
      <c r="R82">
        <v>2394</v>
      </c>
      <c r="S82">
        <v>1101</v>
      </c>
    </row>
    <row r="83" spans="1:19">
      <c r="A83" t="s">
        <v>291</v>
      </c>
      <c r="B83" s="1">
        <v>43742</v>
      </c>
      <c r="C83" s="2">
        <v>0.33333333333333331</v>
      </c>
      <c r="D83" s="1">
        <v>43742</v>
      </c>
      <c r="E83" s="2">
        <v>0.75</v>
      </c>
      <c r="F83" t="s">
        <v>238</v>
      </c>
      <c r="G83" t="s">
        <v>238</v>
      </c>
      <c r="H83" t="str">
        <f t="shared" si="1"/>
        <v>No</v>
      </c>
      <c r="I83">
        <v>10</v>
      </c>
      <c r="J83" t="s">
        <v>33</v>
      </c>
      <c r="K83" t="s">
        <v>292</v>
      </c>
      <c r="L83" t="s">
        <v>315</v>
      </c>
      <c r="M83" s="1">
        <v>43047</v>
      </c>
      <c r="N83" t="s">
        <v>293</v>
      </c>
      <c r="O83" s="7">
        <v>748</v>
      </c>
      <c r="P83" s="7">
        <v>95</v>
      </c>
      <c r="Q83" s="7">
        <v>21</v>
      </c>
      <c r="R83">
        <v>930</v>
      </c>
      <c r="S83">
        <v>465</v>
      </c>
    </row>
    <row r="84" spans="1:19">
      <c r="A84" t="s">
        <v>273</v>
      </c>
      <c r="B84" s="1">
        <v>43742</v>
      </c>
      <c r="C84" s="2">
        <v>0.33333333333333331</v>
      </c>
      <c r="D84" s="1">
        <v>43742</v>
      </c>
      <c r="E84" s="2">
        <v>0.70833333333333337</v>
      </c>
      <c r="F84" t="s">
        <v>238</v>
      </c>
      <c r="G84" t="s">
        <v>238</v>
      </c>
      <c r="H84" t="str">
        <f t="shared" si="1"/>
        <v>No</v>
      </c>
      <c r="I84">
        <v>9</v>
      </c>
      <c r="J84" t="s">
        <v>231</v>
      </c>
      <c r="K84" t="s">
        <v>223</v>
      </c>
      <c r="L84" t="s">
        <v>224</v>
      </c>
      <c r="M84" s="1">
        <v>43236</v>
      </c>
      <c r="N84" t="s">
        <v>274</v>
      </c>
      <c r="O84" s="7">
        <v>106</v>
      </c>
      <c r="P84" s="7">
        <v>136</v>
      </c>
      <c r="Q84" s="7">
        <v>28</v>
      </c>
      <c r="R84">
        <v>4270</v>
      </c>
      <c r="S84">
        <v>1730</v>
      </c>
    </row>
    <row r="85" spans="1:19">
      <c r="A85" t="s">
        <v>276</v>
      </c>
      <c r="B85" s="1">
        <v>43743</v>
      </c>
      <c r="C85" s="2">
        <v>0.29166666666666669</v>
      </c>
      <c r="D85" s="1">
        <v>43743</v>
      </c>
      <c r="E85" s="2">
        <v>0.75</v>
      </c>
      <c r="F85" t="s">
        <v>216</v>
      </c>
      <c r="G85" t="s">
        <v>216</v>
      </c>
      <c r="H85" t="str">
        <f t="shared" si="1"/>
        <v>No</v>
      </c>
      <c r="I85">
        <v>11</v>
      </c>
      <c r="J85" t="s">
        <v>231</v>
      </c>
      <c r="K85" t="s">
        <v>232</v>
      </c>
      <c r="L85" t="s">
        <v>255</v>
      </c>
      <c r="M85" s="1">
        <v>43490</v>
      </c>
      <c r="N85" t="s">
        <v>277</v>
      </c>
      <c r="O85" s="7">
        <v>963</v>
      </c>
      <c r="P85" s="7">
        <v>106</v>
      </c>
      <c r="Q85" s="7">
        <v>28</v>
      </c>
      <c r="R85">
        <v>2100</v>
      </c>
      <c r="S85">
        <v>869</v>
      </c>
    </row>
    <row r="86" spans="1:19">
      <c r="A86" t="s">
        <v>230</v>
      </c>
      <c r="B86" s="1">
        <v>43744</v>
      </c>
      <c r="C86" s="2">
        <v>0.33333333333333331</v>
      </c>
      <c r="D86" s="1">
        <v>43744</v>
      </c>
      <c r="E86" s="2">
        <v>0.70833333333333337</v>
      </c>
      <c r="F86" t="s">
        <v>227</v>
      </c>
      <c r="G86" t="s">
        <v>227</v>
      </c>
      <c r="H86" t="str">
        <f t="shared" si="1"/>
        <v>No</v>
      </c>
      <c r="I86">
        <v>9</v>
      </c>
      <c r="J86" t="s">
        <v>231</v>
      </c>
      <c r="K86" t="s">
        <v>232</v>
      </c>
      <c r="L86" t="s">
        <v>233</v>
      </c>
      <c r="M86" s="1">
        <v>42808</v>
      </c>
      <c r="N86" t="s">
        <v>234</v>
      </c>
      <c r="O86" s="7">
        <v>918</v>
      </c>
      <c r="P86" s="7">
        <v>106</v>
      </c>
      <c r="Q86" s="7">
        <v>26</v>
      </c>
      <c r="R86" s="3">
        <v>1950</v>
      </c>
      <c r="S86">
        <v>760</v>
      </c>
    </row>
    <row r="87" spans="1:19">
      <c r="A87" t="s">
        <v>276</v>
      </c>
      <c r="B87" s="1">
        <v>43745</v>
      </c>
      <c r="C87" s="2">
        <v>0.29166666666666669</v>
      </c>
      <c r="D87" s="1">
        <v>43745</v>
      </c>
      <c r="E87" s="2">
        <v>0.75</v>
      </c>
      <c r="F87" t="s">
        <v>242</v>
      </c>
      <c r="G87" t="s">
        <v>242</v>
      </c>
      <c r="H87" t="str">
        <f t="shared" si="1"/>
        <v>No</v>
      </c>
      <c r="I87">
        <v>11</v>
      </c>
      <c r="J87" t="s">
        <v>231</v>
      </c>
      <c r="K87" t="s">
        <v>232</v>
      </c>
      <c r="L87" t="s">
        <v>255</v>
      </c>
      <c r="M87" s="1">
        <v>42808</v>
      </c>
      <c r="N87" t="s">
        <v>277</v>
      </c>
      <c r="O87" s="7">
        <v>963</v>
      </c>
      <c r="P87" s="7">
        <v>106</v>
      </c>
      <c r="Q87" s="7">
        <v>28</v>
      </c>
      <c r="R87">
        <v>2100</v>
      </c>
      <c r="S87">
        <v>869</v>
      </c>
    </row>
    <row r="88" spans="1:19">
      <c r="A88" t="s">
        <v>240</v>
      </c>
      <c r="B88" s="1">
        <v>43747</v>
      </c>
      <c r="C88" s="2">
        <v>0.29166666666666669</v>
      </c>
      <c r="D88" s="1">
        <v>43747</v>
      </c>
      <c r="E88" s="2">
        <v>0.75</v>
      </c>
      <c r="F88" t="s">
        <v>236</v>
      </c>
      <c r="G88" t="s">
        <v>236</v>
      </c>
      <c r="H88" t="str">
        <f t="shared" si="1"/>
        <v>No</v>
      </c>
      <c r="I88">
        <v>11</v>
      </c>
      <c r="J88" t="s">
        <v>231</v>
      </c>
      <c r="K88" t="s">
        <v>232</v>
      </c>
      <c r="L88" t="s">
        <v>241</v>
      </c>
      <c r="M88" s="1">
        <v>42808</v>
      </c>
      <c r="N88" t="s">
        <v>225</v>
      </c>
      <c r="O88" s="7">
        <v>965</v>
      </c>
      <c r="P88" s="7">
        <v>106</v>
      </c>
      <c r="Q88" s="7">
        <v>27</v>
      </c>
      <c r="R88" s="3">
        <v>2038</v>
      </c>
      <c r="S88">
        <v>999</v>
      </c>
    </row>
    <row r="89" spans="1:19">
      <c r="A89" t="s">
        <v>283</v>
      </c>
      <c r="B89" s="1">
        <v>43748</v>
      </c>
      <c r="C89" s="2">
        <v>0.33333333333333331</v>
      </c>
      <c r="D89" s="1">
        <v>43748</v>
      </c>
      <c r="E89" s="2">
        <v>0.75</v>
      </c>
      <c r="F89" t="s">
        <v>222</v>
      </c>
      <c r="G89" t="s">
        <v>222</v>
      </c>
      <c r="H89" t="str">
        <f t="shared" si="1"/>
        <v>No</v>
      </c>
      <c r="I89">
        <v>11</v>
      </c>
      <c r="J89" t="s">
        <v>33</v>
      </c>
      <c r="K89" t="s">
        <v>223</v>
      </c>
      <c r="L89" t="s">
        <v>284</v>
      </c>
      <c r="M89" s="1">
        <v>43545</v>
      </c>
      <c r="N89" t="s">
        <v>285</v>
      </c>
      <c r="O89" s="7">
        <v>893</v>
      </c>
      <c r="P89" s="7">
        <v>116</v>
      </c>
      <c r="Q89" s="7">
        <v>27</v>
      </c>
      <c r="R89">
        <v>3143</v>
      </c>
      <c r="S89">
        <v>1100</v>
      </c>
    </row>
    <row r="90" spans="1:19">
      <c r="A90" t="s">
        <v>265</v>
      </c>
      <c r="B90" s="1">
        <v>43749</v>
      </c>
      <c r="C90" s="2">
        <v>0.47916666666666669</v>
      </c>
      <c r="D90" s="1">
        <v>43750</v>
      </c>
      <c r="E90" s="2">
        <v>0.75</v>
      </c>
      <c r="F90" t="s">
        <v>238</v>
      </c>
      <c r="G90" t="s">
        <v>216</v>
      </c>
      <c r="H90" t="str">
        <f t="shared" si="1"/>
        <v>Yes</v>
      </c>
      <c r="I90">
        <v>11</v>
      </c>
      <c r="J90" t="s">
        <v>33</v>
      </c>
      <c r="K90" t="s">
        <v>223</v>
      </c>
      <c r="L90" t="s">
        <v>266</v>
      </c>
      <c r="M90" s="1">
        <v>43131</v>
      </c>
      <c r="N90" t="s">
        <v>267</v>
      </c>
      <c r="O90" s="7">
        <v>560</v>
      </c>
      <c r="P90" s="7">
        <v>81</v>
      </c>
      <c r="Q90" s="7">
        <v>21</v>
      </c>
      <c r="R90">
        <v>490</v>
      </c>
      <c r="S90">
        <v>324</v>
      </c>
    </row>
    <row r="91" spans="1:19">
      <c r="A91" t="s">
        <v>254</v>
      </c>
      <c r="B91" s="1">
        <v>43751</v>
      </c>
      <c r="C91" s="2">
        <v>0.33333333333333331</v>
      </c>
      <c r="D91" s="1">
        <v>43751</v>
      </c>
      <c r="E91" s="2">
        <v>0.70833333333333337</v>
      </c>
      <c r="F91" t="s">
        <v>227</v>
      </c>
      <c r="G91" t="s">
        <v>227</v>
      </c>
      <c r="H91" t="str">
        <f t="shared" si="1"/>
        <v>No</v>
      </c>
      <c r="I91">
        <v>9</v>
      </c>
      <c r="J91" t="s">
        <v>231</v>
      </c>
      <c r="K91" t="s">
        <v>232</v>
      </c>
      <c r="L91" t="s">
        <v>255</v>
      </c>
      <c r="M91" s="1">
        <v>42808</v>
      </c>
      <c r="N91" t="s">
        <v>275</v>
      </c>
      <c r="O91" s="7">
        <v>114</v>
      </c>
      <c r="P91" s="7">
        <v>42</v>
      </c>
      <c r="Q91" s="7">
        <v>29</v>
      </c>
      <c r="R91">
        <v>4000</v>
      </c>
      <c r="S91">
        <v>1480</v>
      </c>
    </row>
    <row r="92" spans="1:19">
      <c r="A92" t="s">
        <v>257</v>
      </c>
      <c r="B92" s="1">
        <v>43752</v>
      </c>
      <c r="C92" s="2">
        <v>0.45833333333333331</v>
      </c>
      <c r="D92" s="1">
        <v>43752</v>
      </c>
      <c r="E92" s="2">
        <v>0.91666666666666663</v>
      </c>
      <c r="F92" t="s">
        <v>242</v>
      </c>
      <c r="G92" t="s">
        <v>242</v>
      </c>
      <c r="H92" t="str">
        <f t="shared" si="1"/>
        <v>No</v>
      </c>
      <c r="I92">
        <v>11</v>
      </c>
      <c r="J92" t="s">
        <v>33</v>
      </c>
      <c r="K92" t="s">
        <v>218</v>
      </c>
      <c r="L92" t="s">
        <v>258</v>
      </c>
      <c r="M92" s="1">
        <v>43045</v>
      </c>
      <c r="N92" t="s">
        <v>259</v>
      </c>
      <c r="O92" s="7">
        <v>936</v>
      </c>
      <c r="P92" s="7">
        <v>106</v>
      </c>
      <c r="Q92" s="7">
        <v>27</v>
      </c>
      <c r="R92" s="3">
        <v>1916</v>
      </c>
      <c r="S92">
        <v>812</v>
      </c>
    </row>
    <row r="93" spans="1:19">
      <c r="A93" t="s">
        <v>268</v>
      </c>
      <c r="B93" s="1">
        <v>43752</v>
      </c>
      <c r="C93" s="2">
        <v>0.29166666666666669</v>
      </c>
      <c r="D93" s="1">
        <v>43752</v>
      </c>
      <c r="E93" s="2">
        <v>0.64583333333333337</v>
      </c>
      <c r="F93" t="s">
        <v>242</v>
      </c>
      <c r="G93" t="s">
        <v>242</v>
      </c>
      <c r="H93" t="str">
        <f t="shared" si="1"/>
        <v>No</v>
      </c>
      <c r="I93">
        <v>8.5</v>
      </c>
      <c r="J93" t="s">
        <v>231</v>
      </c>
      <c r="K93" t="s">
        <v>232</v>
      </c>
      <c r="L93" t="s">
        <v>233</v>
      </c>
      <c r="M93" s="1">
        <v>42808</v>
      </c>
      <c r="N93" t="s">
        <v>269</v>
      </c>
      <c r="O93" s="7">
        <v>102</v>
      </c>
      <c r="P93" s="7">
        <v>127</v>
      </c>
      <c r="Q93" s="7">
        <v>28</v>
      </c>
      <c r="R93" s="3">
        <v>3114</v>
      </c>
      <c r="S93" s="3">
        <v>1185</v>
      </c>
    </row>
    <row r="94" spans="1:19">
      <c r="A94" t="s">
        <v>221</v>
      </c>
      <c r="B94" s="1">
        <v>43753</v>
      </c>
      <c r="C94" s="2">
        <v>0.27083333333333331</v>
      </c>
      <c r="D94" s="1">
        <v>43753</v>
      </c>
      <c r="E94" s="2">
        <v>0.70833333333333337</v>
      </c>
      <c r="F94" t="s">
        <v>235</v>
      </c>
      <c r="G94" t="s">
        <v>235</v>
      </c>
      <c r="H94" t="str">
        <f t="shared" si="1"/>
        <v>No</v>
      </c>
      <c r="I94">
        <v>9</v>
      </c>
      <c r="J94" t="s">
        <v>33</v>
      </c>
      <c r="K94" t="s">
        <v>223</v>
      </c>
      <c r="L94" t="s">
        <v>224</v>
      </c>
      <c r="M94" s="1">
        <v>43237</v>
      </c>
      <c r="N94" t="s">
        <v>225</v>
      </c>
      <c r="O94" s="7">
        <v>965</v>
      </c>
      <c r="P94" s="7">
        <v>106</v>
      </c>
      <c r="Q94" s="7">
        <v>27</v>
      </c>
      <c r="R94">
        <v>2224</v>
      </c>
      <c r="S94">
        <v>1000</v>
      </c>
    </row>
    <row r="95" spans="1:19">
      <c r="A95" t="s">
        <v>294</v>
      </c>
      <c r="B95" s="1">
        <v>43753</v>
      </c>
      <c r="C95" s="2">
        <v>0.39583333333333331</v>
      </c>
      <c r="D95" s="1">
        <v>43753</v>
      </c>
      <c r="E95" s="2">
        <v>0.91666666666666663</v>
      </c>
      <c r="F95" t="s">
        <v>235</v>
      </c>
      <c r="G95" t="s">
        <v>235</v>
      </c>
      <c r="H95" t="str">
        <f t="shared" si="1"/>
        <v>No</v>
      </c>
      <c r="I95">
        <v>12</v>
      </c>
      <c r="J95" t="s">
        <v>231</v>
      </c>
      <c r="K95" t="s">
        <v>223</v>
      </c>
      <c r="L95" t="s">
        <v>295</v>
      </c>
      <c r="M95" s="1">
        <v>42954</v>
      </c>
      <c r="N95" t="s">
        <v>296</v>
      </c>
      <c r="O95" s="7">
        <v>785</v>
      </c>
      <c r="P95" s="7">
        <v>105</v>
      </c>
      <c r="Q95" s="7">
        <v>24</v>
      </c>
      <c r="R95" s="3">
        <v>1250</v>
      </c>
      <c r="S95">
        <v>800</v>
      </c>
    </row>
    <row r="96" spans="1:19">
      <c r="A96" t="s">
        <v>215</v>
      </c>
      <c r="B96" s="1">
        <v>43753</v>
      </c>
      <c r="C96" s="2">
        <v>0.25</v>
      </c>
      <c r="D96" s="1">
        <v>43753</v>
      </c>
      <c r="E96" s="2">
        <v>0.625</v>
      </c>
      <c r="F96" t="s">
        <v>235</v>
      </c>
      <c r="G96" t="s">
        <v>235</v>
      </c>
      <c r="H96" t="str">
        <f t="shared" si="1"/>
        <v>No</v>
      </c>
      <c r="I96">
        <v>7</v>
      </c>
      <c r="J96" t="s">
        <v>217</v>
      </c>
      <c r="K96" t="s">
        <v>218</v>
      </c>
      <c r="L96" t="s">
        <v>219</v>
      </c>
      <c r="M96" s="1">
        <v>43322</v>
      </c>
      <c r="N96" t="s">
        <v>220</v>
      </c>
      <c r="O96" s="7">
        <v>335</v>
      </c>
      <c r="P96" s="7">
        <v>56</v>
      </c>
      <c r="Q96" s="7">
        <v>12</v>
      </c>
      <c r="R96">
        <v>197</v>
      </c>
      <c r="S96">
        <v>65</v>
      </c>
    </row>
    <row r="97" spans="1:19">
      <c r="A97" t="s">
        <v>286</v>
      </c>
      <c r="B97" s="1">
        <v>43754</v>
      </c>
      <c r="C97" s="2">
        <v>0.5625</v>
      </c>
      <c r="D97" s="1">
        <v>43754</v>
      </c>
      <c r="E97" s="2">
        <v>0.91666666666666663</v>
      </c>
      <c r="F97" t="s">
        <v>236</v>
      </c>
      <c r="G97" t="s">
        <v>236</v>
      </c>
      <c r="H97" t="str">
        <f t="shared" si="1"/>
        <v>No</v>
      </c>
      <c r="I97">
        <v>8</v>
      </c>
      <c r="J97" t="s">
        <v>33</v>
      </c>
      <c r="K97" t="s">
        <v>248</v>
      </c>
      <c r="L97" t="s">
        <v>249</v>
      </c>
      <c r="M97" s="1">
        <v>43753</v>
      </c>
      <c r="N97" t="s">
        <v>287</v>
      </c>
      <c r="O97" s="7">
        <v>827</v>
      </c>
      <c r="P97" s="7">
        <v>106</v>
      </c>
      <c r="Q97" s="7">
        <v>23</v>
      </c>
      <c r="R97">
        <v>2050</v>
      </c>
      <c r="S97">
        <v>607</v>
      </c>
    </row>
    <row r="98" spans="1:19">
      <c r="A98" t="s">
        <v>297</v>
      </c>
      <c r="B98" s="1">
        <v>43754</v>
      </c>
      <c r="C98" s="2">
        <v>0.89583333333333337</v>
      </c>
      <c r="D98" s="1">
        <v>43755</v>
      </c>
      <c r="E98" s="2">
        <v>0.91666666666666663</v>
      </c>
      <c r="F98" t="s">
        <v>236</v>
      </c>
      <c r="G98" t="s">
        <v>222</v>
      </c>
      <c r="H98" t="str">
        <f t="shared" si="1"/>
        <v>Yes</v>
      </c>
      <c r="I98">
        <v>24</v>
      </c>
      <c r="J98" t="s">
        <v>231</v>
      </c>
      <c r="K98" t="s">
        <v>223</v>
      </c>
      <c r="L98" t="s">
        <v>298</v>
      </c>
      <c r="M98" s="1">
        <v>43024</v>
      </c>
      <c r="N98" t="s">
        <v>299</v>
      </c>
      <c r="O98" s="7">
        <v>103</v>
      </c>
      <c r="P98" s="7">
        <v>117</v>
      </c>
      <c r="Q98" s="7">
        <v>26</v>
      </c>
      <c r="R98" s="3">
        <v>1914</v>
      </c>
      <c r="S98">
        <v>909</v>
      </c>
    </row>
    <row r="99" spans="1:19">
      <c r="A99" t="s">
        <v>263</v>
      </c>
      <c r="B99" s="1">
        <v>43755</v>
      </c>
      <c r="C99" s="2">
        <v>0.375</v>
      </c>
      <c r="D99" s="1">
        <v>43755</v>
      </c>
      <c r="E99" s="2">
        <v>0.75</v>
      </c>
      <c r="F99" t="s">
        <v>222</v>
      </c>
      <c r="G99" t="s">
        <v>222</v>
      </c>
      <c r="H99" t="str">
        <f t="shared" si="1"/>
        <v>No</v>
      </c>
      <c r="I99">
        <v>9</v>
      </c>
      <c r="J99" t="s">
        <v>33</v>
      </c>
      <c r="K99" t="s">
        <v>223</v>
      </c>
      <c r="L99" t="s">
        <v>224</v>
      </c>
      <c r="M99" s="1">
        <v>43077</v>
      </c>
      <c r="N99" t="s">
        <v>264</v>
      </c>
      <c r="O99" s="7">
        <v>964</v>
      </c>
      <c r="P99" s="7">
        <v>106</v>
      </c>
      <c r="Q99" s="7">
        <v>58</v>
      </c>
      <c r="R99">
        <v>2394</v>
      </c>
      <c r="S99">
        <v>1101</v>
      </c>
    </row>
    <row r="100" spans="1:19">
      <c r="A100" t="s">
        <v>265</v>
      </c>
      <c r="B100" s="1">
        <v>43756</v>
      </c>
      <c r="C100" s="2">
        <v>0.29166666666666669</v>
      </c>
      <c r="D100" s="1">
        <v>43756</v>
      </c>
      <c r="E100" s="2">
        <v>0.625</v>
      </c>
      <c r="F100" t="s">
        <v>238</v>
      </c>
      <c r="G100" t="s">
        <v>238</v>
      </c>
      <c r="H100" t="str">
        <f t="shared" si="1"/>
        <v>No</v>
      </c>
      <c r="I100">
        <v>8</v>
      </c>
      <c r="J100" t="s">
        <v>33</v>
      </c>
      <c r="K100" t="s">
        <v>223</v>
      </c>
      <c r="L100" t="s">
        <v>266</v>
      </c>
      <c r="M100" s="1">
        <v>43753</v>
      </c>
      <c r="N100" t="s">
        <v>267</v>
      </c>
      <c r="O100" s="7">
        <v>560</v>
      </c>
      <c r="P100" s="7">
        <v>81</v>
      </c>
      <c r="Q100" s="7">
        <v>21</v>
      </c>
      <c r="R100">
        <v>490</v>
      </c>
      <c r="S100">
        <v>324</v>
      </c>
    </row>
    <row r="101" spans="1:19">
      <c r="A101" t="s">
        <v>300</v>
      </c>
      <c r="B101" s="1">
        <v>43757</v>
      </c>
      <c r="C101" s="2">
        <v>0.33333333333333331</v>
      </c>
      <c r="D101" s="1">
        <v>43757</v>
      </c>
      <c r="E101" s="2">
        <v>0.83333333333333337</v>
      </c>
      <c r="F101" t="s">
        <v>216</v>
      </c>
      <c r="G101" t="s">
        <v>216</v>
      </c>
      <c r="H101" t="str">
        <f t="shared" si="1"/>
        <v>No</v>
      </c>
      <c r="I101">
        <v>12</v>
      </c>
      <c r="J101" t="s">
        <v>33</v>
      </c>
      <c r="K101" t="s">
        <v>218</v>
      </c>
      <c r="L101" t="s">
        <v>301</v>
      </c>
      <c r="M101" s="1">
        <v>42976</v>
      </c>
      <c r="N101" t="s">
        <v>302</v>
      </c>
      <c r="O101" s="7">
        <v>633</v>
      </c>
      <c r="P101" s="7">
        <v>82</v>
      </c>
      <c r="Q101" s="7">
        <v>25</v>
      </c>
      <c r="R101">
        <v>604</v>
      </c>
      <c r="S101">
        <v>292</v>
      </c>
    </row>
    <row r="102" spans="1:19">
      <c r="A102" t="s">
        <v>276</v>
      </c>
      <c r="B102" s="1">
        <v>43759</v>
      </c>
      <c r="C102" s="2">
        <v>0.29166666666666669</v>
      </c>
      <c r="D102" s="1">
        <v>43759</v>
      </c>
      <c r="E102" s="2">
        <v>0.75</v>
      </c>
      <c r="F102" t="s">
        <v>242</v>
      </c>
      <c r="G102" t="s">
        <v>242</v>
      </c>
      <c r="H102" t="str">
        <f t="shared" si="1"/>
        <v>No</v>
      </c>
      <c r="I102">
        <v>11</v>
      </c>
      <c r="J102" t="s">
        <v>231</v>
      </c>
      <c r="K102" t="s">
        <v>232</v>
      </c>
      <c r="L102" t="s">
        <v>233</v>
      </c>
      <c r="M102" s="1">
        <v>42808</v>
      </c>
      <c r="N102" t="s">
        <v>277</v>
      </c>
      <c r="O102" s="7">
        <v>963</v>
      </c>
      <c r="P102" s="7">
        <v>106</v>
      </c>
      <c r="Q102" s="7">
        <v>28</v>
      </c>
      <c r="R102" s="3">
        <v>2100</v>
      </c>
      <c r="S102">
        <v>869</v>
      </c>
    </row>
    <row r="103" spans="1:19">
      <c r="A103" t="s">
        <v>215</v>
      </c>
      <c r="B103" s="1">
        <v>43760</v>
      </c>
      <c r="C103" s="2">
        <v>0.25</v>
      </c>
      <c r="D103" s="1">
        <v>43760</v>
      </c>
      <c r="E103" s="2">
        <v>0.625</v>
      </c>
      <c r="F103" t="s">
        <v>235</v>
      </c>
      <c r="G103" t="s">
        <v>235</v>
      </c>
      <c r="H103" t="str">
        <f t="shared" si="1"/>
        <v>No</v>
      </c>
      <c r="I103">
        <v>7</v>
      </c>
      <c r="J103" t="s">
        <v>217</v>
      </c>
      <c r="K103" t="s">
        <v>218</v>
      </c>
      <c r="L103" t="s">
        <v>219</v>
      </c>
      <c r="M103" s="1">
        <v>43322</v>
      </c>
      <c r="N103" t="s">
        <v>220</v>
      </c>
      <c r="O103" s="7">
        <v>335</v>
      </c>
      <c r="P103" s="7">
        <v>56</v>
      </c>
      <c r="Q103" s="7">
        <v>12</v>
      </c>
      <c r="R103">
        <v>197</v>
      </c>
      <c r="S103">
        <v>65</v>
      </c>
    </row>
    <row r="104" spans="1:19">
      <c r="A104" t="s">
        <v>303</v>
      </c>
      <c r="B104" s="1">
        <v>43760</v>
      </c>
      <c r="C104" s="2">
        <v>0.91666666666666663</v>
      </c>
      <c r="D104" s="1">
        <v>43761</v>
      </c>
      <c r="E104" s="2">
        <v>0.70833333333333337</v>
      </c>
      <c r="F104" t="s">
        <v>235</v>
      </c>
      <c r="G104" t="s">
        <v>236</v>
      </c>
      <c r="H104" t="str">
        <f t="shared" si="1"/>
        <v>Yes</v>
      </c>
      <c r="I104">
        <v>19</v>
      </c>
      <c r="J104" t="s">
        <v>33</v>
      </c>
      <c r="K104" t="s">
        <v>223</v>
      </c>
      <c r="L104" t="s">
        <v>271</v>
      </c>
      <c r="M104" s="1">
        <v>43758</v>
      </c>
      <c r="N104" t="s">
        <v>272</v>
      </c>
      <c r="O104" s="7">
        <v>440</v>
      </c>
      <c r="P104" s="7">
        <v>63</v>
      </c>
      <c r="Q104" s="7" t="s">
        <v>465</v>
      </c>
      <c r="R104">
        <v>212</v>
      </c>
      <c r="S104">
        <v>143</v>
      </c>
    </row>
    <row r="105" spans="1:19">
      <c r="A105" t="s">
        <v>304</v>
      </c>
      <c r="B105" s="1">
        <v>43763</v>
      </c>
      <c r="C105" s="2">
        <v>0.29166666666666669</v>
      </c>
      <c r="D105" s="1">
        <v>43763</v>
      </c>
      <c r="E105" s="2">
        <v>0.79166666666666663</v>
      </c>
      <c r="F105" t="s">
        <v>238</v>
      </c>
      <c r="G105" t="s">
        <v>238</v>
      </c>
      <c r="H105" t="str">
        <f t="shared" si="1"/>
        <v>No</v>
      </c>
      <c r="I105">
        <v>12</v>
      </c>
      <c r="J105" t="s">
        <v>231</v>
      </c>
      <c r="K105" t="s">
        <v>232</v>
      </c>
      <c r="L105" t="s">
        <v>305</v>
      </c>
      <c r="M105" s="1">
        <v>43056</v>
      </c>
      <c r="N105" t="s">
        <v>306</v>
      </c>
      <c r="O105" s="7">
        <v>103</v>
      </c>
      <c r="P105" s="7">
        <v>141</v>
      </c>
      <c r="Q105" s="7">
        <v>28</v>
      </c>
      <c r="R105" s="3">
        <v>4488</v>
      </c>
      <c r="S105" s="3">
        <v>1400</v>
      </c>
    </row>
    <row r="106" spans="1:19">
      <c r="A106" t="s">
        <v>254</v>
      </c>
      <c r="B106" s="1">
        <v>43765</v>
      </c>
      <c r="C106" s="2">
        <v>0.33333333333333331</v>
      </c>
      <c r="D106" s="1">
        <v>43765</v>
      </c>
      <c r="E106" s="2">
        <v>0.70833333333333337</v>
      </c>
      <c r="F106" t="s">
        <v>227</v>
      </c>
      <c r="G106" t="s">
        <v>227</v>
      </c>
      <c r="H106" t="str">
        <f t="shared" si="1"/>
        <v>No</v>
      </c>
      <c r="I106">
        <v>9</v>
      </c>
      <c r="J106" t="s">
        <v>231</v>
      </c>
      <c r="K106" t="s">
        <v>232</v>
      </c>
      <c r="L106" t="s">
        <v>255</v>
      </c>
      <c r="M106" s="1">
        <v>42808</v>
      </c>
      <c r="N106" t="s">
        <v>275</v>
      </c>
      <c r="O106" s="7">
        <v>114</v>
      </c>
      <c r="P106" s="7">
        <v>42</v>
      </c>
      <c r="Q106" s="7">
        <v>29</v>
      </c>
      <c r="R106">
        <v>4000</v>
      </c>
      <c r="S106">
        <v>1480</v>
      </c>
    </row>
    <row r="107" spans="1:19">
      <c r="A107" t="s">
        <v>307</v>
      </c>
      <c r="B107" s="1">
        <v>43767</v>
      </c>
      <c r="C107" s="2">
        <v>0.33333333333333331</v>
      </c>
      <c r="D107" s="1">
        <v>43767</v>
      </c>
      <c r="E107" s="2">
        <v>0.79166666666666663</v>
      </c>
      <c r="F107" t="s">
        <v>235</v>
      </c>
      <c r="G107" t="s">
        <v>235</v>
      </c>
      <c r="H107" t="str">
        <f t="shared" si="1"/>
        <v>No</v>
      </c>
      <c r="I107">
        <v>11</v>
      </c>
      <c r="J107" t="s">
        <v>217</v>
      </c>
      <c r="K107" t="s">
        <v>308</v>
      </c>
      <c r="L107" t="s">
        <v>309</v>
      </c>
      <c r="M107" s="1">
        <v>43266</v>
      </c>
      <c r="N107" t="s">
        <v>310</v>
      </c>
      <c r="O107" s="7">
        <v>286</v>
      </c>
      <c r="P107" s="7" t="s">
        <v>465</v>
      </c>
      <c r="Q107" s="7" t="s">
        <v>465</v>
      </c>
      <c r="R107">
        <v>58</v>
      </c>
      <c r="S107">
        <v>84</v>
      </c>
    </row>
    <row r="108" spans="1:19">
      <c r="A108" t="s">
        <v>311</v>
      </c>
      <c r="B108" s="1">
        <v>43769</v>
      </c>
      <c r="C108" s="2">
        <v>0.375</v>
      </c>
      <c r="D108" s="1">
        <v>43770</v>
      </c>
      <c r="E108" s="2">
        <v>0.75</v>
      </c>
      <c r="F108" t="s">
        <v>222</v>
      </c>
      <c r="G108" t="s">
        <v>238</v>
      </c>
      <c r="H108" t="str">
        <f t="shared" si="1"/>
        <v>Yes</v>
      </c>
      <c r="I108">
        <v>33</v>
      </c>
      <c r="J108" t="s">
        <v>217</v>
      </c>
      <c r="K108" t="s">
        <v>308</v>
      </c>
      <c r="L108" t="s">
        <v>309</v>
      </c>
      <c r="M108" s="1">
        <v>43475</v>
      </c>
      <c r="N108" t="s">
        <v>310</v>
      </c>
      <c r="O108" s="7">
        <v>286</v>
      </c>
      <c r="P108" s="7" t="s">
        <v>465</v>
      </c>
      <c r="Q108" s="7" t="s">
        <v>465</v>
      </c>
      <c r="R108">
        <v>58</v>
      </c>
      <c r="S108">
        <v>84</v>
      </c>
    </row>
    <row r="110" spans="1:19">
      <c r="A110">
        <f>COUNTA(A2:A108)</f>
        <v>107</v>
      </c>
      <c r="R110">
        <f>SUM(R2:R109)</f>
        <v>158079</v>
      </c>
      <c r="S110" s="7">
        <f>SUM(S2:S109)</f>
        <v>64615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114"/>
  <sheetViews>
    <sheetView tabSelected="1" topLeftCell="A82" zoomScale="85" zoomScaleNormal="85" workbookViewId="0">
      <selection activeCell="A115" sqref="A115"/>
    </sheetView>
  </sheetViews>
  <sheetFormatPr defaultRowHeight="14.5"/>
  <cols>
    <col min="1" max="1" width="24.54296875" bestFit="1" customWidth="1"/>
    <col min="2" max="2" width="11" bestFit="1" customWidth="1"/>
    <col min="4" max="4" width="11" bestFit="1" customWidth="1"/>
    <col min="12" max="12" width="11" bestFit="1" customWidth="1"/>
    <col min="13" max="13" width="19.08984375" bestFit="1" customWidth="1"/>
  </cols>
  <sheetData>
    <row r="1" spans="1:19" s="18" customFormat="1">
      <c r="C1" s="18" t="s">
        <v>204</v>
      </c>
      <c r="D1" s="18" t="s">
        <v>205</v>
      </c>
      <c r="E1" s="18" t="s">
        <v>204</v>
      </c>
      <c r="F1" s="18" t="s">
        <v>206</v>
      </c>
      <c r="G1" s="18" t="s">
        <v>207</v>
      </c>
      <c r="H1" s="18" t="s">
        <v>439</v>
      </c>
      <c r="I1" s="18" t="s">
        <v>208</v>
      </c>
      <c r="J1" s="18" t="s">
        <v>209</v>
      </c>
      <c r="K1" s="18" t="s">
        <v>210</v>
      </c>
      <c r="L1" s="18" t="s">
        <v>211</v>
      </c>
      <c r="M1" s="18" t="s">
        <v>212</v>
      </c>
      <c r="N1" s="18" t="s">
        <v>213</v>
      </c>
      <c r="O1" s="18" t="s">
        <v>379</v>
      </c>
      <c r="P1" s="18" t="s">
        <v>433</v>
      </c>
      <c r="Q1" s="18" t="s">
        <v>434</v>
      </c>
      <c r="R1" s="18" t="s">
        <v>313</v>
      </c>
      <c r="S1" s="18" t="s">
        <v>214</v>
      </c>
    </row>
    <row r="2" spans="1:19">
      <c r="A2" s="18" t="s">
        <v>203</v>
      </c>
      <c r="B2" s="18" t="s">
        <v>312</v>
      </c>
      <c r="C2" s="18" t="s">
        <v>204</v>
      </c>
      <c r="D2" s="18" t="s">
        <v>205</v>
      </c>
      <c r="E2" s="18" t="s">
        <v>204</v>
      </c>
      <c r="F2" s="18" t="s">
        <v>206</v>
      </c>
      <c r="G2" s="18" t="s">
        <v>207</v>
      </c>
      <c r="H2" s="18" t="s">
        <v>439</v>
      </c>
      <c r="I2" s="18"/>
      <c r="J2" s="18" t="s">
        <v>209</v>
      </c>
      <c r="K2" s="18" t="s">
        <v>210</v>
      </c>
      <c r="L2" s="18" t="s">
        <v>211</v>
      </c>
      <c r="M2" s="18" t="s">
        <v>212</v>
      </c>
      <c r="N2" s="18" t="s">
        <v>213</v>
      </c>
      <c r="Q2" s="7"/>
      <c r="R2" s="18" t="s">
        <v>313</v>
      </c>
      <c r="S2" s="18" t="s">
        <v>214</v>
      </c>
    </row>
    <row r="3" spans="1:19">
      <c r="A3" t="s">
        <v>316</v>
      </c>
      <c r="B3" s="1">
        <v>43215</v>
      </c>
      <c r="C3" s="2">
        <v>0.29166666666666669</v>
      </c>
      <c r="D3" s="1">
        <v>43215</v>
      </c>
      <c r="E3" s="2">
        <v>0.58333333333333337</v>
      </c>
      <c r="F3" t="s">
        <v>236</v>
      </c>
      <c r="G3" t="s">
        <v>236</v>
      </c>
      <c r="H3" t="str">
        <f>IF(F3=G3,"No","Yes")</f>
        <v>No</v>
      </c>
      <c r="I3" s="7"/>
      <c r="J3" t="s">
        <v>33</v>
      </c>
      <c r="K3" t="s">
        <v>218</v>
      </c>
      <c r="L3" t="s">
        <v>317</v>
      </c>
      <c r="M3" s="1">
        <v>42719</v>
      </c>
      <c r="N3" t="s">
        <v>318</v>
      </c>
      <c r="Q3" s="7"/>
      <c r="R3">
        <v>1200</v>
      </c>
      <c r="S3">
        <v>520</v>
      </c>
    </row>
    <row r="4" spans="1:19">
      <c r="A4" t="s">
        <v>319</v>
      </c>
      <c r="B4" s="1">
        <v>43218</v>
      </c>
      <c r="C4" s="2">
        <v>0.32291666666666669</v>
      </c>
      <c r="D4" s="1">
        <v>43218</v>
      </c>
      <c r="E4" s="2">
        <v>0.83333333333333337</v>
      </c>
      <c r="F4" t="s">
        <v>216</v>
      </c>
      <c r="G4" t="s">
        <v>216</v>
      </c>
      <c r="H4" t="str">
        <f t="shared" ref="H4:H61" si="0">IF(F4=G4,"No","Yes")</f>
        <v>No</v>
      </c>
      <c r="I4" s="7"/>
      <c r="J4" t="s">
        <v>33</v>
      </c>
      <c r="K4" t="s">
        <v>308</v>
      </c>
      <c r="L4" t="s">
        <v>320</v>
      </c>
      <c r="M4" s="1">
        <v>42878</v>
      </c>
      <c r="N4" t="s">
        <v>321</v>
      </c>
      <c r="Q4" s="7"/>
      <c r="R4">
        <v>318</v>
      </c>
    </row>
    <row r="5" spans="1:19">
      <c r="A5" t="s">
        <v>322</v>
      </c>
      <c r="B5" s="1">
        <v>43219</v>
      </c>
      <c r="C5">
        <v>800</v>
      </c>
      <c r="D5" s="1">
        <v>43219</v>
      </c>
      <c r="E5" s="2">
        <v>0.91666666666666663</v>
      </c>
      <c r="F5" t="s">
        <v>227</v>
      </c>
      <c r="G5" t="s">
        <v>227</v>
      </c>
      <c r="H5" t="str">
        <f t="shared" si="0"/>
        <v>No</v>
      </c>
      <c r="I5" s="7"/>
      <c r="J5" t="s">
        <v>33</v>
      </c>
      <c r="K5" t="s">
        <v>223</v>
      </c>
      <c r="L5" t="s">
        <v>323</v>
      </c>
      <c r="M5" s="1">
        <v>41417</v>
      </c>
      <c r="N5" t="s">
        <v>324</v>
      </c>
      <c r="Q5" s="7"/>
      <c r="R5">
        <v>1171</v>
      </c>
      <c r="S5">
        <v>800</v>
      </c>
    </row>
    <row r="6" spans="1:19">
      <c r="A6" t="s">
        <v>215</v>
      </c>
      <c r="B6" s="1">
        <v>43226</v>
      </c>
      <c r="C6" s="2">
        <v>0.54166666666666663</v>
      </c>
      <c r="D6" s="1">
        <v>43239</v>
      </c>
      <c r="E6" s="2">
        <v>0.625</v>
      </c>
      <c r="F6" t="s">
        <v>227</v>
      </c>
      <c r="G6" t="s">
        <v>216</v>
      </c>
      <c r="H6" t="str">
        <f t="shared" si="0"/>
        <v>Yes</v>
      </c>
      <c r="I6" s="7"/>
      <c r="J6" t="s">
        <v>217</v>
      </c>
      <c r="K6" t="s">
        <v>218</v>
      </c>
      <c r="L6" t="s">
        <v>219</v>
      </c>
      <c r="M6" s="1">
        <v>42739</v>
      </c>
      <c r="N6" t="s">
        <v>220</v>
      </c>
      <c r="Q6" s="7"/>
      <c r="R6">
        <v>197</v>
      </c>
      <c r="S6">
        <v>65</v>
      </c>
    </row>
    <row r="7" spans="1:19">
      <c r="A7" t="s">
        <v>325</v>
      </c>
      <c r="B7" s="1">
        <v>43233</v>
      </c>
      <c r="C7" s="2">
        <v>0.33333333333333331</v>
      </c>
      <c r="D7" s="1">
        <v>43233</v>
      </c>
      <c r="E7" s="2">
        <v>0.66666666666666663</v>
      </c>
      <c r="F7" t="s">
        <v>227</v>
      </c>
      <c r="G7" t="s">
        <v>227</v>
      </c>
      <c r="H7" t="str">
        <f t="shared" si="0"/>
        <v>No</v>
      </c>
      <c r="I7" s="7"/>
      <c r="J7" t="s">
        <v>33</v>
      </c>
      <c r="K7" t="s">
        <v>218</v>
      </c>
      <c r="L7" t="s">
        <v>258</v>
      </c>
      <c r="M7" s="1">
        <v>41814</v>
      </c>
      <c r="N7" t="s">
        <v>326</v>
      </c>
      <c r="Q7" s="7"/>
      <c r="R7">
        <v>1258</v>
      </c>
      <c r="S7">
        <v>618</v>
      </c>
    </row>
    <row r="8" spans="1:19">
      <c r="A8" t="s">
        <v>230</v>
      </c>
      <c r="B8" s="1">
        <v>43233</v>
      </c>
      <c r="C8" s="2">
        <v>0.33333333333333331</v>
      </c>
      <c r="D8" s="1">
        <v>43233</v>
      </c>
      <c r="E8" s="2">
        <v>0.70833333333333337</v>
      </c>
      <c r="F8" t="s">
        <v>227</v>
      </c>
      <c r="G8" t="s">
        <v>227</v>
      </c>
      <c r="H8" t="str">
        <f t="shared" si="0"/>
        <v>No</v>
      </c>
      <c r="I8" s="7"/>
      <c r="J8" t="s">
        <v>231</v>
      </c>
      <c r="K8" t="s">
        <v>232</v>
      </c>
      <c r="L8" t="s">
        <v>233</v>
      </c>
      <c r="M8" s="1">
        <v>42580</v>
      </c>
      <c r="N8" t="s">
        <v>234</v>
      </c>
      <c r="Q8" s="7"/>
      <c r="R8">
        <v>2000</v>
      </c>
      <c r="S8">
        <v>790</v>
      </c>
    </row>
    <row r="9" spans="1:19">
      <c r="A9" t="s">
        <v>327</v>
      </c>
      <c r="B9" s="1">
        <v>43233</v>
      </c>
      <c r="C9" s="2">
        <v>0.33333333333333331</v>
      </c>
      <c r="D9" s="1">
        <v>43235</v>
      </c>
      <c r="E9" t="s">
        <v>328</v>
      </c>
      <c r="F9" t="s">
        <v>227</v>
      </c>
      <c r="G9" t="s">
        <v>235</v>
      </c>
      <c r="H9" t="str">
        <f t="shared" si="0"/>
        <v>Yes</v>
      </c>
      <c r="I9" s="7"/>
      <c r="J9" t="s">
        <v>217</v>
      </c>
      <c r="K9" t="s">
        <v>218</v>
      </c>
      <c r="L9" t="s">
        <v>309</v>
      </c>
      <c r="M9" s="1">
        <v>43116</v>
      </c>
      <c r="N9" t="s">
        <v>329</v>
      </c>
      <c r="Q9" s="7"/>
      <c r="R9">
        <v>200</v>
      </c>
      <c r="S9">
        <v>90</v>
      </c>
    </row>
    <row r="10" spans="1:19">
      <c r="A10" t="s">
        <v>330</v>
      </c>
      <c r="B10" s="1">
        <v>43240</v>
      </c>
      <c r="C10" s="2">
        <v>0.97916666666666663</v>
      </c>
      <c r="D10" s="1">
        <v>43241</v>
      </c>
      <c r="E10" s="2">
        <v>0.79166666666666663</v>
      </c>
      <c r="F10" t="s">
        <v>227</v>
      </c>
      <c r="G10" t="s">
        <v>242</v>
      </c>
      <c r="H10" t="str">
        <f t="shared" si="0"/>
        <v>Yes</v>
      </c>
      <c r="I10" s="7"/>
      <c r="J10" t="s">
        <v>33</v>
      </c>
      <c r="K10" t="s">
        <v>228</v>
      </c>
      <c r="L10" t="s">
        <v>228</v>
      </c>
      <c r="M10" s="1">
        <v>42768</v>
      </c>
      <c r="N10" t="s">
        <v>229</v>
      </c>
      <c r="Q10" s="7"/>
      <c r="R10">
        <v>165</v>
      </c>
    </row>
    <row r="11" spans="1:19">
      <c r="A11" t="s">
        <v>331</v>
      </c>
      <c r="B11" s="1">
        <v>43245</v>
      </c>
      <c r="C11" s="2">
        <v>0.29166666666666669</v>
      </c>
      <c r="D11" s="1">
        <v>43245</v>
      </c>
      <c r="E11" s="2">
        <v>0.75</v>
      </c>
      <c r="F11" t="s">
        <v>238</v>
      </c>
      <c r="G11" t="s">
        <v>238</v>
      </c>
      <c r="H11" t="str">
        <f t="shared" si="0"/>
        <v>No</v>
      </c>
      <c r="I11" s="7"/>
      <c r="J11" t="s">
        <v>33</v>
      </c>
      <c r="K11" t="s">
        <v>308</v>
      </c>
      <c r="L11" t="s">
        <v>332</v>
      </c>
      <c r="M11" s="1">
        <v>42559</v>
      </c>
      <c r="N11" t="s">
        <v>333</v>
      </c>
      <c r="Q11" s="7"/>
      <c r="R11">
        <v>118</v>
      </c>
      <c r="S11">
        <v>70</v>
      </c>
    </row>
    <row r="12" spans="1:19">
      <c r="A12" t="s">
        <v>330</v>
      </c>
      <c r="B12" s="1">
        <v>43250</v>
      </c>
      <c r="C12" s="2">
        <v>0.9375</v>
      </c>
      <c r="D12" s="1">
        <v>43251</v>
      </c>
      <c r="E12" s="2">
        <v>0.79166666666666663</v>
      </c>
      <c r="F12" t="s">
        <v>227</v>
      </c>
      <c r="G12" t="s">
        <v>242</v>
      </c>
      <c r="H12" t="str">
        <f t="shared" si="0"/>
        <v>Yes</v>
      </c>
      <c r="I12" s="7"/>
      <c r="J12" t="s">
        <v>33</v>
      </c>
      <c r="K12" t="s">
        <v>228</v>
      </c>
      <c r="L12" t="s">
        <v>228</v>
      </c>
      <c r="M12" s="1">
        <v>42768</v>
      </c>
      <c r="N12" t="s">
        <v>229</v>
      </c>
      <c r="Q12" s="7"/>
      <c r="R12">
        <v>165</v>
      </c>
    </row>
    <row r="13" spans="1:19">
      <c r="A13" t="s">
        <v>237</v>
      </c>
      <c r="B13" s="1">
        <v>43252</v>
      </c>
      <c r="C13" s="2">
        <v>0.70833333333333337</v>
      </c>
      <c r="D13" s="1">
        <v>43253</v>
      </c>
      <c r="E13" s="2">
        <v>0.5625</v>
      </c>
      <c r="F13" t="s">
        <v>238</v>
      </c>
      <c r="G13" t="s">
        <v>216</v>
      </c>
      <c r="H13" t="str">
        <f t="shared" si="0"/>
        <v>Yes</v>
      </c>
      <c r="I13" s="7"/>
      <c r="J13" t="s">
        <v>33</v>
      </c>
      <c r="K13" t="s">
        <v>228</v>
      </c>
      <c r="L13" t="s">
        <v>228</v>
      </c>
      <c r="M13" s="1">
        <v>42768</v>
      </c>
      <c r="N13" t="s">
        <v>239</v>
      </c>
      <c r="Q13" s="7"/>
      <c r="R13">
        <v>98</v>
      </c>
      <c r="S13">
        <v>26</v>
      </c>
    </row>
    <row r="14" spans="1:19">
      <c r="A14" t="s">
        <v>334</v>
      </c>
      <c r="B14" s="1">
        <v>43254</v>
      </c>
      <c r="C14" s="2">
        <v>0.29166666666666669</v>
      </c>
      <c r="D14" s="1">
        <v>43254</v>
      </c>
      <c r="E14" s="2">
        <v>0.75</v>
      </c>
      <c r="F14" t="s">
        <v>227</v>
      </c>
      <c r="G14" t="s">
        <v>227</v>
      </c>
      <c r="H14" t="str">
        <f t="shared" si="0"/>
        <v>No</v>
      </c>
      <c r="I14" s="7"/>
      <c r="J14" t="s">
        <v>231</v>
      </c>
      <c r="K14" t="s">
        <v>232</v>
      </c>
      <c r="L14" t="s">
        <v>233</v>
      </c>
      <c r="M14" s="1">
        <v>42580</v>
      </c>
      <c r="N14" t="s">
        <v>335</v>
      </c>
      <c r="Q14" s="7"/>
      <c r="R14">
        <v>3114</v>
      </c>
      <c r="S14">
        <v>1120</v>
      </c>
    </row>
    <row r="15" spans="1:19">
      <c r="A15" t="s">
        <v>263</v>
      </c>
      <c r="B15" s="1">
        <v>43258</v>
      </c>
      <c r="C15" s="2">
        <v>0.33333333333333331</v>
      </c>
      <c r="D15" s="1">
        <v>43258</v>
      </c>
      <c r="E15" s="2">
        <v>0.83333333333333337</v>
      </c>
      <c r="F15" t="s">
        <v>222</v>
      </c>
      <c r="G15" t="s">
        <v>222</v>
      </c>
      <c r="H15" t="str">
        <f t="shared" si="0"/>
        <v>No</v>
      </c>
      <c r="I15" s="7"/>
      <c r="J15" t="s">
        <v>33</v>
      </c>
      <c r="K15" t="s">
        <v>223</v>
      </c>
      <c r="L15" t="s">
        <v>224</v>
      </c>
      <c r="M15" s="1">
        <v>42766</v>
      </c>
      <c r="N15" t="s">
        <v>264</v>
      </c>
      <c r="Q15" s="7"/>
      <c r="R15">
        <v>2690</v>
      </c>
      <c r="S15">
        <v>1101</v>
      </c>
    </row>
    <row r="16" spans="1:19">
      <c r="A16" t="s">
        <v>237</v>
      </c>
      <c r="B16" s="1">
        <v>43259</v>
      </c>
      <c r="C16" s="2">
        <v>0.70833333333333337</v>
      </c>
      <c r="D16" s="1">
        <v>43260</v>
      </c>
      <c r="E16" s="2">
        <v>0.5625</v>
      </c>
      <c r="F16" t="s">
        <v>238</v>
      </c>
      <c r="G16" t="s">
        <v>216</v>
      </c>
      <c r="H16" t="str">
        <f t="shared" si="0"/>
        <v>Yes</v>
      </c>
      <c r="I16" s="7"/>
      <c r="J16" t="s">
        <v>33</v>
      </c>
      <c r="K16" t="s">
        <v>228</v>
      </c>
      <c r="L16" t="s">
        <v>228</v>
      </c>
      <c r="M16" s="1">
        <v>42768</v>
      </c>
      <c r="N16" t="s">
        <v>239</v>
      </c>
      <c r="Q16" s="7"/>
      <c r="R16">
        <v>98</v>
      </c>
      <c r="S16">
        <v>26</v>
      </c>
    </row>
    <row r="17" spans="1:19">
      <c r="A17" t="s">
        <v>330</v>
      </c>
      <c r="B17" s="1">
        <v>43260</v>
      </c>
      <c r="C17" s="2">
        <v>0.9375</v>
      </c>
      <c r="D17" s="1">
        <v>43261</v>
      </c>
      <c r="E17" s="2">
        <v>0.79166666666666663</v>
      </c>
      <c r="F17" t="s">
        <v>216</v>
      </c>
      <c r="G17" t="s">
        <v>227</v>
      </c>
      <c r="H17" t="str">
        <f t="shared" si="0"/>
        <v>Yes</v>
      </c>
      <c r="I17" s="7"/>
      <c r="J17" t="s">
        <v>33</v>
      </c>
      <c r="K17" t="s">
        <v>228</v>
      </c>
      <c r="L17" t="s">
        <v>228</v>
      </c>
      <c r="M17" s="1">
        <v>42768</v>
      </c>
      <c r="N17" t="s">
        <v>229</v>
      </c>
      <c r="Q17" s="7"/>
      <c r="R17">
        <v>165</v>
      </c>
    </row>
    <row r="18" spans="1:19">
      <c r="A18" t="s">
        <v>230</v>
      </c>
      <c r="B18" s="1">
        <v>43261</v>
      </c>
      <c r="C18" s="2">
        <v>0.33333333333333331</v>
      </c>
      <c r="D18" s="1">
        <v>43261</v>
      </c>
      <c r="E18" s="2">
        <v>0.70833333333333337</v>
      </c>
      <c r="F18" t="s">
        <v>227</v>
      </c>
      <c r="G18" t="s">
        <v>227</v>
      </c>
      <c r="H18" t="str">
        <f t="shared" si="0"/>
        <v>No</v>
      </c>
      <c r="I18" s="7"/>
      <c r="J18" t="s">
        <v>231</v>
      </c>
      <c r="K18" t="s">
        <v>232</v>
      </c>
      <c r="L18" t="s">
        <v>233</v>
      </c>
      <c r="M18" s="1">
        <v>42580</v>
      </c>
      <c r="N18" t="s">
        <v>234</v>
      </c>
      <c r="Q18" s="7"/>
      <c r="R18">
        <v>2000</v>
      </c>
      <c r="S18">
        <v>790</v>
      </c>
    </row>
    <row r="19" spans="1:19">
      <c r="A19" t="s">
        <v>237</v>
      </c>
      <c r="B19" s="1">
        <v>43266</v>
      </c>
      <c r="C19" s="2">
        <v>0.70833333333333337</v>
      </c>
      <c r="D19" s="1">
        <v>43267</v>
      </c>
      <c r="E19" s="2">
        <v>0.5625</v>
      </c>
      <c r="F19" t="s">
        <v>238</v>
      </c>
      <c r="G19" t="s">
        <v>216</v>
      </c>
      <c r="H19" t="str">
        <f t="shared" si="0"/>
        <v>Yes</v>
      </c>
      <c r="I19" s="7"/>
      <c r="J19" t="s">
        <v>33</v>
      </c>
      <c r="K19" t="s">
        <v>228</v>
      </c>
      <c r="L19" t="s">
        <v>228</v>
      </c>
      <c r="M19" s="1">
        <v>42768</v>
      </c>
      <c r="N19" t="s">
        <v>239</v>
      </c>
      <c r="Q19" s="7"/>
      <c r="R19">
        <v>98</v>
      </c>
      <c r="S19">
        <v>26</v>
      </c>
    </row>
    <row r="20" spans="1:19">
      <c r="A20" t="s">
        <v>330</v>
      </c>
      <c r="B20" s="1">
        <v>43270</v>
      </c>
      <c r="C20" s="2">
        <v>0.9375</v>
      </c>
      <c r="D20" s="1">
        <v>43271</v>
      </c>
      <c r="E20" s="2">
        <v>0.79166666666666663</v>
      </c>
      <c r="F20" t="s">
        <v>235</v>
      </c>
      <c r="G20" t="s">
        <v>236</v>
      </c>
      <c r="H20" t="str">
        <f t="shared" si="0"/>
        <v>Yes</v>
      </c>
      <c r="I20" s="7"/>
      <c r="J20" t="s">
        <v>33</v>
      </c>
      <c r="K20" t="s">
        <v>228</v>
      </c>
      <c r="L20" t="s">
        <v>228</v>
      </c>
      <c r="M20" s="1">
        <v>42768</v>
      </c>
      <c r="N20" t="s">
        <v>229</v>
      </c>
      <c r="Q20" s="7"/>
      <c r="R20">
        <v>165</v>
      </c>
    </row>
    <row r="21" spans="1:19">
      <c r="A21" t="s">
        <v>263</v>
      </c>
      <c r="B21" s="1">
        <v>43272</v>
      </c>
      <c r="C21" s="2">
        <v>0.33333333333333331</v>
      </c>
      <c r="D21" s="1">
        <v>43272</v>
      </c>
      <c r="E21" s="2">
        <v>0.83333333333333337</v>
      </c>
      <c r="F21" t="s">
        <v>222</v>
      </c>
      <c r="G21" t="s">
        <v>222</v>
      </c>
      <c r="H21" t="str">
        <f t="shared" si="0"/>
        <v>No</v>
      </c>
      <c r="I21" s="7"/>
      <c r="J21" t="s">
        <v>33</v>
      </c>
      <c r="K21" t="s">
        <v>223</v>
      </c>
      <c r="L21" t="s">
        <v>224</v>
      </c>
      <c r="M21" s="1">
        <v>42660</v>
      </c>
      <c r="N21" t="s">
        <v>264</v>
      </c>
      <c r="Q21" s="7"/>
      <c r="R21">
        <v>2924</v>
      </c>
      <c r="S21">
        <v>1101</v>
      </c>
    </row>
    <row r="22" spans="1:19">
      <c r="A22" t="s">
        <v>237</v>
      </c>
      <c r="B22" s="1">
        <v>43273</v>
      </c>
      <c r="C22" s="2">
        <v>0.70833333333333337</v>
      </c>
      <c r="D22" s="1">
        <v>43274</v>
      </c>
      <c r="E22" s="2">
        <v>0.5625</v>
      </c>
      <c r="F22" t="s">
        <v>238</v>
      </c>
      <c r="G22" t="s">
        <v>216</v>
      </c>
      <c r="H22" t="str">
        <f t="shared" si="0"/>
        <v>Yes</v>
      </c>
      <c r="I22" s="7"/>
      <c r="J22" t="s">
        <v>33</v>
      </c>
      <c r="K22" t="s">
        <v>228</v>
      </c>
      <c r="L22" t="s">
        <v>228</v>
      </c>
      <c r="M22" s="1">
        <v>42768</v>
      </c>
      <c r="N22" t="s">
        <v>239</v>
      </c>
      <c r="Q22" s="7"/>
      <c r="R22">
        <v>98</v>
      </c>
      <c r="S22">
        <v>26</v>
      </c>
    </row>
    <row r="23" spans="1:19">
      <c r="A23" t="s">
        <v>247</v>
      </c>
      <c r="B23" s="1">
        <v>43276</v>
      </c>
      <c r="C23" s="2">
        <v>0.33333333333333331</v>
      </c>
      <c r="D23" s="1">
        <v>43276</v>
      </c>
      <c r="E23" s="2">
        <v>0.8125</v>
      </c>
      <c r="F23" t="s">
        <v>242</v>
      </c>
      <c r="G23" t="s">
        <v>242</v>
      </c>
      <c r="H23" t="str">
        <f t="shared" si="0"/>
        <v>No</v>
      </c>
      <c r="I23" s="7"/>
      <c r="J23" t="s">
        <v>33</v>
      </c>
      <c r="K23" t="s">
        <v>223</v>
      </c>
      <c r="L23" t="s">
        <v>336</v>
      </c>
      <c r="M23" s="1">
        <v>42743</v>
      </c>
      <c r="N23" t="s">
        <v>337</v>
      </c>
      <c r="Q23" s="7"/>
      <c r="R23">
        <v>1582</v>
      </c>
      <c r="S23">
        <v>426</v>
      </c>
    </row>
    <row r="24" spans="1:19">
      <c r="A24" t="s">
        <v>263</v>
      </c>
      <c r="B24" s="1">
        <v>43279</v>
      </c>
      <c r="C24" s="2">
        <v>0.33333333333333331</v>
      </c>
      <c r="D24" s="1">
        <v>43279</v>
      </c>
      <c r="E24" s="2">
        <v>0.83333333333333337</v>
      </c>
      <c r="F24" t="s">
        <v>222</v>
      </c>
      <c r="G24" t="s">
        <v>222</v>
      </c>
      <c r="H24" t="str">
        <f t="shared" si="0"/>
        <v>No</v>
      </c>
      <c r="I24" s="7"/>
      <c r="J24" t="s">
        <v>33</v>
      </c>
      <c r="K24" t="s">
        <v>223</v>
      </c>
      <c r="L24" t="s">
        <v>224</v>
      </c>
      <c r="M24" s="1">
        <v>42660</v>
      </c>
      <c r="N24" t="s">
        <v>264</v>
      </c>
      <c r="Q24" s="7"/>
      <c r="R24">
        <v>2663</v>
      </c>
      <c r="S24">
        <v>1101</v>
      </c>
    </row>
    <row r="25" spans="1:19">
      <c r="A25" t="s">
        <v>240</v>
      </c>
      <c r="B25" s="1">
        <v>43280</v>
      </c>
      <c r="C25" s="2">
        <v>0.29166666666666669</v>
      </c>
      <c r="D25" s="1">
        <v>43280</v>
      </c>
      <c r="E25" s="2">
        <v>0.66666666666666663</v>
      </c>
      <c r="F25" t="s">
        <v>238</v>
      </c>
      <c r="G25" t="s">
        <v>238</v>
      </c>
      <c r="H25" t="str">
        <f t="shared" si="0"/>
        <v>No</v>
      </c>
      <c r="I25" s="7"/>
      <c r="J25" t="s">
        <v>231</v>
      </c>
      <c r="K25" t="s">
        <v>232</v>
      </c>
      <c r="L25" t="s">
        <v>233</v>
      </c>
      <c r="M25" s="1">
        <v>42580</v>
      </c>
      <c r="N25" t="s">
        <v>225</v>
      </c>
      <c r="Q25" s="7"/>
      <c r="R25">
        <v>2038</v>
      </c>
      <c r="S25">
        <v>999</v>
      </c>
    </row>
    <row r="26" spans="1:19">
      <c r="A26" t="s">
        <v>237</v>
      </c>
      <c r="B26" s="1">
        <v>43280</v>
      </c>
      <c r="C26" s="2">
        <v>0.70833333333333337</v>
      </c>
      <c r="D26" s="1">
        <v>43281</v>
      </c>
      <c r="E26" s="2">
        <v>0.5625</v>
      </c>
      <c r="F26" t="s">
        <v>238</v>
      </c>
      <c r="G26" t="s">
        <v>216</v>
      </c>
      <c r="H26" t="str">
        <f t="shared" si="0"/>
        <v>Yes</v>
      </c>
      <c r="I26" s="7"/>
      <c r="J26" t="s">
        <v>33</v>
      </c>
      <c r="K26" t="s">
        <v>228</v>
      </c>
      <c r="L26" t="s">
        <v>228</v>
      </c>
      <c r="M26" s="1">
        <v>42768</v>
      </c>
      <c r="N26" t="s">
        <v>239</v>
      </c>
      <c r="Q26" s="7"/>
      <c r="R26">
        <v>98</v>
      </c>
      <c r="S26">
        <v>26</v>
      </c>
    </row>
    <row r="27" spans="1:19">
      <c r="A27" t="s">
        <v>334</v>
      </c>
      <c r="B27" s="1">
        <v>43282</v>
      </c>
      <c r="C27" s="2">
        <v>0.29166666666666669</v>
      </c>
      <c r="D27" s="1">
        <v>43282</v>
      </c>
      <c r="E27" s="2">
        <v>0.75</v>
      </c>
      <c r="F27" t="s">
        <v>227</v>
      </c>
      <c r="G27" t="s">
        <v>227</v>
      </c>
      <c r="H27" t="str">
        <f t="shared" si="0"/>
        <v>No</v>
      </c>
      <c r="I27" s="7"/>
      <c r="J27" t="s">
        <v>231</v>
      </c>
      <c r="K27" t="s">
        <v>232</v>
      </c>
      <c r="L27" t="s">
        <v>233</v>
      </c>
      <c r="M27" s="1">
        <v>42580</v>
      </c>
      <c r="N27" t="s">
        <v>338</v>
      </c>
      <c r="Q27" s="7"/>
      <c r="R27">
        <v>3114</v>
      </c>
      <c r="S27">
        <v>1120</v>
      </c>
    </row>
    <row r="28" spans="1:19">
      <c r="A28" t="s">
        <v>237</v>
      </c>
      <c r="B28" s="1">
        <v>43287</v>
      </c>
      <c r="C28" s="2">
        <v>0.70833333333333337</v>
      </c>
      <c r="D28" s="1">
        <v>43288</v>
      </c>
      <c r="E28" s="2">
        <v>0.5625</v>
      </c>
      <c r="F28" t="s">
        <v>238</v>
      </c>
      <c r="G28" t="s">
        <v>216</v>
      </c>
      <c r="H28" t="str">
        <f t="shared" si="0"/>
        <v>Yes</v>
      </c>
      <c r="I28" s="7"/>
      <c r="J28" t="s">
        <v>33</v>
      </c>
      <c r="K28" t="s">
        <v>228</v>
      </c>
      <c r="L28" t="s">
        <v>228</v>
      </c>
      <c r="M28" s="1">
        <v>42768</v>
      </c>
      <c r="N28" t="s">
        <v>239</v>
      </c>
      <c r="Q28" s="7"/>
      <c r="R28">
        <v>98</v>
      </c>
      <c r="S28">
        <v>26</v>
      </c>
    </row>
    <row r="29" spans="1:19">
      <c r="A29" t="s">
        <v>230</v>
      </c>
      <c r="B29" s="1">
        <v>43289</v>
      </c>
      <c r="C29" s="2">
        <v>0.33333333333333331</v>
      </c>
      <c r="D29" s="1">
        <v>43289</v>
      </c>
      <c r="E29" s="2">
        <v>0.70833333333333337</v>
      </c>
      <c r="F29" t="s">
        <v>227</v>
      </c>
      <c r="G29" t="s">
        <v>227</v>
      </c>
      <c r="H29" t="str">
        <f t="shared" si="0"/>
        <v>No</v>
      </c>
      <c r="I29" s="7"/>
      <c r="J29" t="s">
        <v>231</v>
      </c>
      <c r="K29" t="s">
        <v>232</v>
      </c>
      <c r="L29" t="s">
        <v>233</v>
      </c>
      <c r="M29" s="1">
        <v>42580</v>
      </c>
      <c r="N29" t="s">
        <v>234</v>
      </c>
      <c r="Q29" s="7"/>
      <c r="R29">
        <v>2000</v>
      </c>
      <c r="S29">
        <v>790</v>
      </c>
    </row>
    <row r="30" spans="1:19">
      <c r="A30" t="s">
        <v>330</v>
      </c>
      <c r="B30" s="1">
        <v>43292</v>
      </c>
      <c r="C30" s="2">
        <v>0.66666666666666663</v>
      </c>
      <c r="D30" s="1">
        <v>43293</v>
      </c>
      <c r="E30" s="2">
        <v>0.72916666666666663</v>
      </c>
      <c r="F30" t="s">
        <v>236</v>
      </c>
      <c r="G30" t="s">
        <v>222</v>
      </c>
      <c r="H30" t="str">
        <f t="shared" si="0"/>
        <v>Yes</v>
      </c>
      <c r="I30" s="7"/>
      <c r="J30" t="s">
        <v>33</v>
      </c>
      <c r="K30" t="s">
        <v>228</v>
      </c>
      <c r="L30" t="s">
        <v>228</v>
      </c>
      <c r="M30" s="1">
        <v>42768</v>
      </c>
      <c r="N30" t="s">
        <v>229</v>
      </c>
      <c r="Q30" s="7"/>
      <c r="R30">
        <v>165</v>
      </c>
    </row>
    <row r="31" spans="1:19">
      <c r="A31" t="s">
        <v>237</v>
      </c>
      <c r="B31" s="1">
        <v>43294</v>
      </c>
      <c r="C31" s="2">
        <v>0.70833333333333337</v>
      </c>
      <c r="D31" s="1">
        <v>43295</v>
      </c>
      <c r="E31" s="2">
        <v>0.5625</v>
      </c>
      <c r="F31" t="s">
        <v>238</v>
      </c>
      <c r="G31" t="s">
        <v>216</v>
      </c>
      <c r="H31" t="str">
        <f t="shared" si="0"/>
        <v>Yes</v>
      </c>
      <c r="I31" s="7"/>
      <c r="J31" t="s">
        <v>33</v>
      </c>
      <c r="K31" t="s">
        <v>228</v>
      </c>
      <c r="L31" t="s">
        <v>228</v>
      </c>
      <c r="M31" s="1">
        <v>42768</v>
      </c>
      <c r="N31" t="s">
        <v>239</v>
      </c>
      <c r="Q31" s="7"/>
      <c r="R31">
        <v>98</v>
      </c>
      <c r="S31">
        <v>26</v>
      </c>
    </row>
    <row r="32" spans="1:19">
      <c r="A32" t="s">
        <v>330</v>
      </c>
      <c r="B32" s="1">
        <v>43294</v>
      </c>
      <c r="C32" s="2">
        <v>0.9375</v>
      </c>
      <c r="D32" s="1">
        <v>43295</v>
      </c>
      <c r="E32" s="2">
        <v>0.79166666666666663</v>
      </c>
      <c r="F32" t="s">
        <v>236</v>
      </c>
      <c r="G32" t="s">
        <v>222</v>
      </c>
      <c r="H32" t="str">
        <f t="shared" si="0"/>
        <v>Yes</v>
      </c>
      <c r="I32" s="7"/>
      <c r="J32" t="s">
        <v>33</v>
      </c>
      <c r="K32" t="s">
        <v>228</v>
      </c>
      <c r="L32" t="s">
        <v>228</v>
      </c>
      <c r="M32" s="1">
        <v>42768</v>
      </c>
      <c r="N32" t="s">
        <v>229</v>
      </c>
      <c r="Q32" s="7"/>
      <c r="R32">
        <v>165</v>
      </c>
    </row>
    <row r="33" spans="1:19">
      <c r="A33" t="s">
        <v>244</v>
      </c>
      <c r="B33" s="1">
        <v>43298</v>
      </c>
      <c r="C33" s="2">
        <v>0.5</v>
      </c>
      <c r="D33" s="1">
        <v>43298</v>
      </c>
      <c r="E33" t="s">
        <v>339</v>
      </c>
      <c r="F33" t="s">
        <v>235</v>
      </c>
      <c r="G33" t="s">
        <v>235</v>
      </c>
      <c r="H33" t="str">
        <f t="shared" si="0"/>
        <v>No</v>
      </c>
      <c r="I33" s="7"/>
      <c r="J33" t="s">
        <v>33</v>
      </c>
      <c r="K33" t="s">
        <v>340</v>
      </c>
      <c r="L33" t="s">
        <v>340</v>
      </c>
      <c r="M33" s="1">
        <v>42907</v>
      </c>
      <c r="N33" t="s">
        <v>246</v>
      </c>
      <c r="Q33" s="7"/>
      <c r="R33">
        <v>56</v>
      </c>
    </row>
    <row r="34" spans="1:19">
      <c r="A34" t="s">
        <v>237</v>
      </c>
      <c r="B34" s="1">
        <v>43301</v>
      </c>
      <c r="C34" s="2">
        <v>0.70833333333333337</v>
      </c>
      <c r="D34" s="1">
        <v>43302</v>
      </c>
      <c r="E34" s="2">
        <v>0.5625</v>
      </c>
      <c r="F34" t="s">
        <v>238</v>
      </c>
      <c r="G34" t="s">
        <v>216</v>
      </c>
      <c r="H34" t="str">
        <f t="shared" si="0"/>
        <v>Yes</v>
      </c>
      <c r="I34" s="7"/>
      <c r="J34" t="s">
        <v>33</v>
      </c>
      <c r="K34" t="s">
        <v>228</v>
      </c>
      <c r="L34" t="s">
        <v>228</v>
      </c>
      <c r="M34" s="1">
        <v>42768</v>
      </c>
      <c r="N34" t="s">
        <v>239</v>
      </c>
      <c r="Q34" s="7"/>
      <c r="R34">
        <v>98</v>
      </c>
      <c r="S34">
        <v>26</v>
      </c>
    </row>
    <row r="35" spans="1:19">
      <c r="A35" t="s">
        <v>330</v>
      </c>
      <c r="B35" s="1">
        <v>43304</v>
      </c>
      <c r="C35" s="2">
        <v>0.9375</v>
      </c>
      <c r="D35" s="1">
        <v>43305</v>
      </c>
      <c r="E35" s="2">
        <v>0.79166666666666663</v>
      </c>
      <c r="F35" t="s">
        <v>242</v>
      </c>
      <c r="G35" t="s">
        <v>235</v>
      </c>
      <c r="H35" t="str">
        <f t="shared" si="0"/>
        <v>Yes</v>
      </c>
      <c r="I35" s="7"/>
      <c r="J35" t="s">
        <v>33</v>
      </c>
      <c r="K35" t="s">
        <v>228</v>
      </c>
      <c r="L35" t="s">
        <v>228</v>
      </c>
      <c r="M35" s="1">
        <v>42768</v>
      </c>
      <c r="N35" t="s">
        <v>229</v>
      </c>
      <c r="Q35" s="7"/>
      <c r="R35">
        <v>165</v>
      </c>
    </row>
    <row r="36" spans="1:19">
      <c r="A36" t="s">
        <v>237</v>
      </c>
      <c r="B36" s="1">
        <v>43308</v>
      </c>
      <c r="C36" s="2">
        <v>0.70833333333333337</v>
      </c>
      <c r="D36" s="1">
        <v>43309</v>
      </c>
      <c r="E36" s="2">
        <v>0.5625</v>
      </c>
      <c r="F36" t="s">
        <v>238</v>
      </c>
      <c r="G36" t="s">
        <v>216</v>
      </c>
      <c r="H36" t="str">
        <f t="shared" si="0"/>
        <v>Yes</v>
      </c>
      <c r="I36" s="7"/>
      <c r="J36" t="s">
        <v>33</v>
      </c>
      <c r="K36" t="s">
        <v>228</v>
      </c>
      <c r="L36" t="s">
        <v>228</v>
      </c>
      <c r="M36" s="1">
        <v>42768</v>
      </c>
      <c r="N36" t="s">
        <v>239</v>
      </c>
      <c r="Q36" s="7"/>
      <c r="R36">
        <v>98</v>
      </c>
      <c r="S36">
        <v>26</v>
      </c>
    </row>
    <row r="37" spans="1:19">
      <c r="A37" t="s">
        <v>334</v>
      </c>
      <c r="B37" s="1">
        <v>43310</v>
      </c>
      <c r="C37" s="2">
        <v>0.29166666666666669</v>
      </c>
      <c r="D37" s="1">
        <v>43310</v>
      </c>
      <c r="E37" s="2">
        <v>0.75</v>
      </c>
      <c r="F37" t="s">
        <v>227</v>
      </c>
      <c r="G37" t="s">
        <v>227</v>
      </c>
      <c r="H37" t="str">
        <f t="shared" si="0"/>
        <v>No</v>
      </c>
      <c r="I37" s="7"/>
      <c r="J37" t="s">
        <v>231</v>
      </c>
      <c r="K37" t="s">
        <v>232</v>
      </c>
      <c r="L37" t="s">
        <v>233</v>
      </c>
      <c r="M37" s="1">
        <v>42580</v>
      </c>
      <c r="N37" t="s">
        <v>338</v>
      </c>
      <c r="Q37" s="7"/>
      <c r="R37">
        <v>3114</v>
      </c>
      <c r="S37">
        <v>1120</v>
      </c>
    </row>
    <row r="38" spans="1:19">
      <c r="A38" t="s">
        <v>330</v>
      </c>
      <c r="B38" s="1">
        <v>43314</v>
      </c>
      <c r="C38" s="2">
        <v>0.9375</v>
      </c>
      <c r="D38" s="1">
        <v>43315</v>
      </c>
      <c r="E38" s="2">
        <v>0.79166666666666663</v>
      </c>
      <c r="F38" t="s">
        <v>222</v>
      </c>
      <c r="G38" t="s">
        <v>238</v>
      </c>
      <c r="H38" t="str">
        <f t="shared" si="0"/>
        <v>Yes</v>
      </c>
      <c r="I38" s="7"/>
      <c r="J38" t="s">
        <v>33</v>
      </c>
      <c r="K38" t="s">
        <v>228</v>
      </c>
      <c r="L38" t="s">
        <v>228</v>
      </c>
      <c r="M38" s="1">
        <v>42768</v>
      </c>
      <c r="N38" t="s">
        <v>229</v>
      </c>
      <c r="Q38" s="7"/>
      <c r="R38">
        <v>165</v>
      </c>
    </row>
    <row r="39" spans="1:19">
      <c r="A39" t="s">
        <v>237</v>
      </c>
      <c r="B39" s="1">
        <v>43315</v>
      </c>
      <c r="C39" s="2">
        <v>0.70833333333333337</v>
      </c>
      <c r="D39" s="1">
        <v>43316</v>
      </c>
      <c r="E39" s="2">
        <v>0.5625</v>
      </c>
      <c r="F39" t="s">
        <v>238</v>
      </c>
      <c r="G39" t="s">
        <v>216</v>
      </c>
      <c r="H39" t="str">
        <f t="shared" si="0"/>
        <v>Yes</v>
      </c>
      <c r="I39" s="7"/>
      <c r="J39" t="s">
        <v>33</v>
      </c>
      <c r="K39" t="s">
        <v>228</v>
      </c>
      <c r="L39" t="s">
        <v>228</v>
      </c>
      <c r="M39" s="1">
        <v>42768</v>
      </c>
      <c r="N39" t="s">
        <v>239</v>
      </c>
      <c r="Q39" s="7"/>
      <c r="R39">
        <v>98</v>
      </c>
      <c r="S39">
        <v>26</v>
      </c>
    </row>
    <row r="40" spans="1:19">
      <c r="A40" t="s">
        <v>230</v>
      </c>
      <c r="B40" s="1">
        <v>43317</v>
      </c>
      <c r="C40" s="2">
        <v>0.33333333333333331</v>
      </c>
      <c r="D40" s="1">
        <v>43317</v>
      </c>
      <c r="E40" s="2">
        <v>0.70833333333333337</v>
      </c>
      <c r="F40" t="s">
        <v>227</v>
      </c>
      <c r="G40" t="s">
        <v>227</v>
      </c>
      <c r="H40" t="str">
        <f t="shared" si="0"/>
        <v>No</v>
      </c>
      <c r="I40" s="7"/>
      <c r="J40" t="s">
        <v>231</v>
      </c>
      <c r="K40" t="s">
        <v>232</v>
      </c>
      <c r="L40" t="s">
        <v>233</v>
      </c>
      <c r="M40" s="1">
        <v>42580</v>
      </c>
      <c r="N40" t="s">
        <v>234</v>
      </c>
      <c r="Q40" s="7"/>
      <c r="R40">
        <v>2000</v>
      </c>
      <c r="S40">
        <v>790</v>
      </c>
    </row>
    <row r="41" spans="1:19">
      <c r="A41" t="s">
        <v>237</v>
      </c>
      <c r="B41" s="1">
        <v>43322</v>
      </c>
      <c r="C41" s="2">
        <v>0.70833333333333337</v>
      </c>
      <c r="D41" s="1">
        <v>43323</v>
      </c>
      <c r="E41" s="2">
        <v>0.5625</v>
      </c>
      <c r="F41" t="s">
        <v>238</v>
      </c>
      <c r="G41" t="s">
        <v>216</v>
      </c>
      <c r="H41" t="str">
        <f t="shared" si="0"/>
        <v>Yes</v>
      </c>
      <c r="I41" s="7"/>
      <c r="J41" t="s">
        <v>33</v>
      </c>
      <c r="K41" t="s">
        <v>228</v>
      </c>
      <c r="L41" t="s">
        <v>228</v>
      </c>
      <c r="M41" s="1">
        <v>42768</v>
      </c>
      <c r="N41" t="s">
        <v>239</v>
      </c>
      <c r="Q41" s="7"/>
      <c r="R41">
        <v>98</v>
      </c>
      <c r="S41">
        <v>26</v>
      </c>
    </row>
    <row r="42" spans="1:19">
      <c r="A42" t="s">
        <v>330</v>
      </c>
      <c r="B42" s="1">
        <v>43324</v>
      </c>
      <c r="C42" s="2">
        <v>0.9375</v>
      </c>
      <c r="D42" s="1">
        <v>43325</v>
      </c>
      <c r="E42" s="2">
        <v>0.79166666666666663</v>
      </c>
      <c r="F42" t="s">
        <v>227</v>
      </c>
      <c r="G42" t="s">
        <v>242</v>
      </c>
      <c r="H42" t="str">
        <f t="shared" si="0"/>
        <v>Yes</v>
      </c>
      <c r="I42" s="7"/>
      <c r="J42" t="s">
        <v>33</v>
      </c>
      <c r="K42" t="s">
        <v>228</v>
      </c>
      <c r="L42" t="s">
        <v>228</v>
      </c>
      <c r="M42" s="1">
        <v>42768</v>
      </c>
      <c r="N42" t="s">
        <v>229</v>
      </c>
      <c r="Q42" s="7"/>
      <c r="R42">
        <v>165</v>
      </c>
    </row>
    <row r="43" spans="1:19">
      <c r="A43" t="s">
        <v>247</v>
      </c>
      <c r="B43" s="1">
        <v>43326</v>
      </c>
      <c r="C43" s="2">
        <v>0.33333333333333331</v>
      </c>
      <c r="D43" s="1">
        <v>43326</v>
      </c>
      <c r="E43" s="2">
        <v>0.8125</v>
      </c>
      <c r="F43" t="s">
        <v>235</v>
      </c>
      <c r="G43" t="s">
        <v>235</v>
      </c>
      <c r="H43" t="str">
        <f t="shared" si="0"/>
        <v>No</v>
      </c>
      <c r="I43" s="7"/>
      <c r="J43" t="s">
        <v>33</v>
      </c>
      <c r="K43" t="s">
        <v>223</v>
      </c>
      <c r="L43" t="s">
        <v>336</v>
      </c>
      <c r="M43" s="1">
        <v>42743</v>
      </c>
      <c r="N43" t="s">
        <v>337</v>
      </c>
      <c r="Q43" s="7"/>
      <c r="R43">
        <v>1582</v>
      </c>
      <c r="S43">
        <v>426</v>
      </c>
    </row>
    <row r="44" spans="1:19">
      <c r="A44" t="s">
        <v>237</v>
      </c>
      <c r="B44" s="1">
        <v>43329</v>
      </c>
      <c r="C44" s="2">
        <v>0.70833333333333337</v>
      </c>
      <c r="D44" s="1">
        <v>43330</v>
      </c>
      <c r="E44" s="2">
        <v>0.5625</v>
      </c>
      <c r="F44" t="s">
        <v>238</v>
      </c>
      <c r="G44" t="s">
        <v>216</v>
      </c>
      <c r="H44" t="str">
        <f t="shared" si="0"/>
        <v>Yes</v>
      </c>
      <c r="I44" s="7"/>
      <c r="J44" t="s">
        <v>33</v>
      </c>
      <c r="K44" t="s">
        <v>228</v>
      </c>
      <c r="L44" t="s">
        <v>228</v>
      </c>
      <c r="M44" s="1">
        <v>42768</v>
      </c>
      <c r="N44" t="s">
        <v>239</v>
      </c>
      <c r="Q44" s="7"/>
      <c r="R44">
        <v>98</v>
      </c>
      <c r="S44">
        <v>26</v>
      </c>
    </row>
    <row r="45" spans="1:19">
      <c r="A45" t="s">
        <v>247</v>
      </c>
      <c r="B45" s="1">
        <v>43333</v>
      </c>
      <c r="C45" s="2">
        <v>0.33333333333333331</v>
      </c>
      <c r="D45" s="1">
        <v>43333</v>
      </c>
      <c r="E45" s="2">
        <v>0.625</v>
      </c>
      <c r="F45" t="s">
        <v>341</v>
      </c>
      <c r="G45" t="s">
        <v>341</v>
      </c>
      <c r="H45" t="str">
        <f t="shared" si="0"/>
        <v>No</v>
      </c>
      <c r="I45" s="7"/>
      <c r="J45" t="s">
        <v>33</v>
      </c>
      <c r="K45" t="s">
        <v>223</v>
      </c>
      <c r="L45" t="s">
        <v>336</v>
      </c>
      <c r="M45" s="1">
        <v>42743</v>
      </c>
      <c r="N45" t="s">
        <v>337</v>
      </c>
      <c r="Q45" s="7"/>
      <c r="R45">
        <v>1582</v>
      </c>
      <c r="S45">
        <v>426</v>
      </c>
    </row>
    <row r="46" spans="1:19">
      <c r="A46" t="s">
        <v>330</v>
      </c>
      <c r="B46" s="1">
        <v>43334</v>
      </c>
      <c r="C46" s="2">
        <v>0.9375</v>
      </c>
      <c r="D46" s="1">
        <v>43335</v>
      </c>
      <c r="E46" s="2">
        <v>0.79166666666666663</v>
      </c>
      <c r="F46" t="s">
        <v>236</v>
      </c>
      <c r="G46" t="s">
        <v>222</v>
      </c>
      <c r="H46" t="str">
        <f t="shared" si="0"/>
        <v>Yes</v>
      </c>
      <c r="I46" s="7"/>
      <c r="J46" t="s">
        <v>33</v>
      </c>
      <c r="K46" t="s">
        <v>228</v>
      </c>
      <c r="L46" t="s">
        <v>228</v>
      </c>
      <c r="M46" s="1">
        <v>42768</v>
      </c>
      <c r="N46" t="s">
        <v>229</v>
      </c>
      <c r="Q46" s="7"/>
      <c r="R46">
        <v>165</v>
      </c>
    </row>
    <row r="47" spans="1:19">
      <c r="A47" t="s">
        <v>237</v>
      </c>
      <c r="B47" s="1">
        <v>43336</v>
      </c>
      <c r="C47" s="2">
        <v>0.70833333333333337</v>
      </c>
      <c r="D47" s="1">
        <v>43337</v>
      </c>
      <c r="E47" s="2">
        <v>0.5625</v>
      </c>
      <c r="F47" t="s">
        <v>238</v>
      </c>
      <c r="G47" t="s">
        <v>216</v>
      </c>
      <c r="H47" t="str">
        <f t="shared" si="0"/>
        <v>Yes</v>
      </c>
      <c r="I47" s="7"/>
      <c r="J47" t="s">
        <v>33</v>
      </c>
      <c r="K47" t="s">
        <v>228</v>
      </c>
      <c r="L47" t="s">
        <v>228</v>
      </c>
      <c r="M47" s="1">
        <v>42768</v>
      </c>
      <c r="N47" t="s">
        <v>239</v>
      </c>
      <c r="Q47" s="7"/>
      <c r="R47">
        <v>98</v>
      </c>
      <c r="S47">
        <v>26</v>
      </c>
    </row>
    <row r="48" spans="1:19">
      <c r="A48" t="s">
        <v>254</v>
      </c>
      <c r="B48" s="1">
        <v>43338</v>
      </c>
      <c r="C48" s="2">
        <v>0.33333333333333331</v>
      </c>
      <c r="D48" s="1">
        <v>43338</v>
      </c>
      <c r="E48" s="2">
        <v>0.70833333333333337</v>
      </c>
      <c r="F48" t="s">
        <v>227</v>
      </c>
      <c r="G48" t="s">
        <v>227</v>
      </c>
      <c r="H48" t="str">
        <f t="shared" si="0"/>
        <v>No</v>
      </c>
      <c r="I48" s="7"/>
      <c r="J48" t="s">
        <v>231</v>
      </c>
      <c r="K48" t="s">
        <v>232</v>
      </c>
      <c r="L48" t="s">
        <v>233</v>
      </c>
      <c r="M48" s="1">
        <v>42580</v>
      </c>
      <c r="N48" t="s">
        <v>342</v>
      </c>
      <c r="Q48" s="7"/>
      <c r="R48">
        <v>4974</v>
      </c>
      <c r="S48">
        <v>1480</v>
      </c>
    </row>
    <row r="49" spans="1:19">
      <c r="A49" t="s">
        <v>343</v>
      </c>
      <c r="B49" s="1">
        <v>43339</v>
      </c>
      <c r="C49" s="2">
        <v>0.29166666666666669</v>
      </c>
      <c r="D49" s="1">
        <v>43339</v>
      </c>
      <c r="E49" s="2">
        <v>0.66666666666666663</v>
      </c>
      <c r="F49" t="s">
        <v>242</v>
      </c>
      <c r="G49" t="s">
        <v>242</v>
      </c>
      <c r="H49" t="str">
        <f t="shared" si="0"/>
        <v>No</v>
      </c>
      <c r="I49" s="7"/>
      <c r="J49" t="s">
        <v>33</v>
      </c>
      <c r="K49" t="s">
        <v>223</v>
      </c>
      <c r="L49" t="s">
        <v>295</v>
      </c>
      <c r="M49" s="1">
        <v>42663</v>
      </c>
      <c r="N49" t="s">
        <v>344</v>
      </c>
      <c r="Q49" s="7"/>
      <c r="R49">
        <v>684</v>
      </c>
      <c r="S49">
        <v>400</v>
      </c>
    </row>
    <row r="50" spans="1:19">
      <c r="A50" t="s">
        <v>334</v>
      </c>
      <c r="B50" s="1">
        <v>43341</v>
      </c>
      <c r="C50" s="2">
        <v>0.29166666666666669</v>
      </c>
      <c r="D50" s="1">
        <v>43341</v>
      </c>
      <c r="E50" s="2">
        <v>0.75</v>
      </c>
      <c r="F50" t="s">
        <v>236</v>
      </c>
      <c r="G50" t="s">
        <v>236</v>
      </c>
      <c r="H50" t="str">
        <f t="shared" si="0"/>
        <v>No</v>
      </c>
      <c r="I50" s="7"/>
      <c r="J50" t="s">
        <v>231</v>
      </c>
      <c r="K50" t="s">
        <v>232</v>
      </c>
      <c r="L50" t="s">
        <v>233</v>
      </c>
      <c r="M50" s="1">
        <v>42580</v>
      </c>
      <c r="N50" t="s">
        <v>338</v>
      </c>
      <c r="Q50" s="7"/>
      <c r="R50">
        <v>3114</v>
      </c>
      <c r="S50">
        <v>1120</v>
      </c>
    </row>
    <row r="51" spans="1:19">
      <c r="A51" t="s">
        <v>237</v>
      </c>
      <c r="B51" s="1">
        <v>43343</v>
      </c>
      <c r="C51" s="2">
        <v>0.70833333333333337</v>
      </c>
      <c r="D51" s="1">
        <v>43344</v>
      </c>
      <c r="E51" s="2">
        <v>0.5625</v>
      </c>
      <c r="F51" t="s">
        <v>238</v>
      </c>
      <c r="G51" t="s">
        <v>216</v>
      </c>
      <c r="H51" t="str">
        <f t="shared" si="0"/>
        <v>Yes</v>
      </c>
      <c r="I51" s="7"/>
      <c r="J51" t="s">
        <v>33</v>
      </c>
      <c r="K51" t="s">
        <v>228</v>
      </c>
      <c r="L51" t="s">
        <v>228</v>
      </c>
      <c r="M51" s="1">
        <v>42768</v>
      </c>
      <c r="N51" t="s">
        <v>239</v>
      </c>
      <c r="Q51" s="7"/>
      <c r="R51">
        <v>98</v>
      </c>
      <c r="S51">
        <v>26</v>
      </c>
    </row>
    <row r="52" spans="1:19">
      <c r="A52" t="s">
        <v>330</v>
      </c>
      <c r="B52" s="1">
        <v>43344</v>
      </c>
      <c r="C52" s="2">
        <v>0.9375</v>
      </c>
      <c r="D52" s="1">
        <v>43345</v>
      </c>
      <c r="E52" s="2">
        <v>0.79166666666666663</v>
      </c>
      <c r="F52" t="s">
        <v>216</v>
      </c>
      <c r="G52" t="s">
        <v>227</v>
      </c>
      <c r="H52" t="str">
        <f t="shared" si="0"/>
        <v>Yes</v>
      </c>
      <c r="I52" s="7"/>
      <c r="J52" t="s">
        <v>217</v>
      </c>
      <c r="K52" t="s">
        <v>228</v>
      </c>
      <c r="L52" t="s">
        <v>228</v>
      </c>
      <c r="M52" s="1">
        <v>42768</v>
      </c>
      <c r="N52" t="s">
        <v>229</v>
      </c>
      <c r="Q52" s="7"/>
      <c r="R52">
        <v>165</v>
      </c>
    </row>
    <row r="53" spans="1:19">
      <c r="A53" t="s">
        <v>334</v>
      </c>
      <c r="B53" s="1">
        <v>43345</v>
      </c>
      <c r="C53" s="2">
        <v>0.29166666666666669</v>
      </c>
      <c r="D53" s="1">
        <v>43345</v>
      </c>
      <c r="E53" s="2">
        <v>0.75</v>
      </c>
      <c r="F53" t="s">
        <v>227</v>
      </c>
      <c r="G53" t="s">
        <v>227</v>
      </c>
      <c r="H53" t="str">
        <f t="shared" si="0"/>
        <v>No</v>
      </c>
      <c r="I53" s="7"/>
      <c r="J53" t="s">
        <v>231</v>
      </c>
      <c r="K53" t="s">
        <v>232</v>
      </c>
      <c r="L53" t="s">
        <v>233</v>
      </c>
      <c r="M53" s="1">
        <v>43075</v>
      </c>
      <c r="N53" t="s">
        <v>338</v>
      </c>
      <c r="Q53" s="7"/>
      <c r="R53">
        <v>3114</v>
      </c>
      <c r="S53">
        <v>1120</v>
      </c>
    </row>
    <row r="54" spans="1:19">
      <c r="A54" t="s">
        <v>230</v>
      </c>
      <c r="B54" s="1">
        <v>43345</v>
      </c>
      <c r="C54" s="2">
        <v>0.33333333333333331</v>
      </c>
      <c r="D54" s="1">
        <v>43345</v>
      </c>
      <c r="E54" s="2">
        <v>0.70833333333333337</v>
      </c>
      <c r="F54" t="s">
        <v>227</v>
      </c>
      <c r="G54" t="s">
        <v>227</v>
      </c>
      <c r="H54" t="str">
        <f t="shared" si="0"/>
        <v>No</v>
      </c>
      <c r="I54" s="7"/>
      <c r="J54" t="s">
        <v>33</v>
      </c>
      <c r="K54" t="s">
        <v>232</v>
      </c>
      <c r="L54" t="s">
        <v>233</v>
      </c>
      <c r="M54" s="1">
        <v>42580</v>
      </c>
      <c r="N54" t="s">
        <v>234</v>
      </c>
      <c r="Q54" s="7"/>
      <c r="R54">
        <v>2000</v>
      </c>
      <c r="S54">
        <v>790</v>
      </c>
    </row>
    <row r="55" spans="1:19">
      <c r="A55" t="s">
        <v>345</v>
      </c>
      <c r="B55" s="1">
        <v>43346</v>
      </c>
      <c r="C55" s="2">
        <v>0.33333333333333331</v>
      </c>
      <c r="D55" s="1">
        <v>43346</v>
      </c>
      <c r="E55" s="2">
        <v>0.79166666666666663</v>
      </c>
      <c r="F55" t="s">
        <v>242</v>
      </c>
      <c r="G55" t="s">
        <v>242</v>
      </c>
      <c r="H55" t="str">
        <f t="shared" si="0"/>
        <v>No</v>
      </c>
      <c r="I55" s="7"/>
      <c r="J55" t="s">
        <v>33</v>
      </c>
      <c r="K55" t="s">
        <v>218</v>
      </c>
      <c r="L55" t="s">
        <v>346</v>
      </c>
      <c r="M55" s="1">
        <v>42719</v>
      </c>
      <c r="N55" t="s">
        <v>347</v>
      </c>
      <c r="Q55" s="7"/>
      <c r="R55">
        <v>795</v>
      </c>
      <c r="S55">
        <v>545</v>
      </c>
    </row>
    <row r="56" spans="1:19">
      <c r="A56" t="s">
        <v>237</v>
      </c>
      <c r="B56" s="1">
        <v>43350</v>
      </c>
      <c r="C56" s="2">
        <v>0.70833333333333337</v>
      </c>
      <c r="D56" s="1">
        <v>43351</v>
      </c>
      <c r="E56" s="2">
        <v>0.5625</v>
      </c>
      <c r="F56" t="s">
        <v>238</v>
      </c>
      <c r="G56" t="s">
        <v>216</v>
      </c>
      <c r="H56" t="str">
        <f t="shared" si="0"/>
        <v>Yes</v>
      </c>
      <c r="I56" s="7"/>
      <c r="J56" t="s">
        <v>33</v>
      </c>
      <c r="K56" t="s">
        <v>228</v>
      </c>
      <c r="L56" t="s">
        <v>228</v>
      </c>
      <c r="M56" s="1">
        <v>42768</v>
      </c>
      <c r="N56" t="s">
        <v>239</v>
      </c>
      <c r="Q56" s="7"/>
      <c r="R56">
        <v>98</v>
      </c>
      <c r="S56">
        <v>26</v>
      </c>
    </row>
    <row r="57" spans="1:19">
      <c r="A57" t="s">
        <v>307</v>
      </c>
      <c r="B57" s="1">
        <v>43352</v>
      </c>
      <c r="C57" s="2">
        <v>0.41666666666666669</v>
      </c>
      <c r="D57" s="1">
        <v>43352</v>
      </c>
      <c r="E57" s="2">
        <v>0.79166666666666663</v>
      </c>
      <c r="F57" t="s">
        <v>227</v>
      </c>
      <c r="G57" t="s">
        <v>227</v>
      </c>
      <c r="H57" t="str">
        <f t="shared" si="0"/>
        <v>No</v>
      </c>
      <c r="I57" s="7"/>
      <c r="J57" t="s">
        <v>33</v>
      </c>
      <c r="K57" t="s">
        <v>218</v>
      </c>
      <c r="L57" t="s">
        <v>309</v>
      </c>
      <c r="M57" s="1">
        <v>42850</v>
      </c>
      <c r="N57" t="s">
        <v>348</v>
      </c>
      <c r="Q57" s="7"/>
      <c r="R57">
        <v>200</v>
      </c>
      <c r="S57">
        <v>220</v>
      </c>
    </row>
    <row r="58" spans="1:19">
      <c r="A58" t="s">
        <v>254</v>
      </c>
      <c r="B58" s="1">
        <v>43352</v>
      </c>
      <c r="C58" s="2">
        <v>0.33333333333333331</v>
      </c>
      <c r="D58" s="1">
        <v>43352</v>
      </c>
      <c r="E58" s="2">
        <v>0.70833333333333337</v>
      </c>
      <c r="F58" t="s">
        <v>227</v>
      </c>
      <c r="G58" t="s">
        <v>227</v>
      </c>
      <c r="H58" t="str">
        <f t="shared" si="0"/>
        <v>No</v>
      </c>
      <c r="I58" s="7"/>
      <c r="J58" t="s">
        <v>231</v>
      </c>
      <c r="K58" t="s">
        <v>232</v>
      </c>
      <c r="L58" t="s">
        <v>233</v>
      </c>
      <c r="M58" s="1">
        <v>42580</v>
      </c>
      <c r="N58" t="s">
        <v>342</v>
      </c>
      <c r="Q58" s="7"/>
      <c r="R58">
        <v>4974</v>
      </c>
      <c r="S58">
        <v>1480</v>
      </c>
    </row>
    <row r="59" spans="1:19">
      <c r="A59" t="s">
        <v>334</v>
      </c>
      <c r="B59" s="1">
        <v>43353</v>
      </c>
      <c r="C59" s="2">
        <v>0.29166666666666669</v>
      </c>
      <c r="D59" s="1">
        <v>43353</v>
      </c>
      <c r="E59" s="2">
        <v>0.625</v>
      </c>
      <c r="F59" t="s">
        <v>242</v>
      </c>
      <c r="G59" t="s">
        <v>242</v>
      </c>
      <c r="H59" t="str">
        <f t="shared" si="0"/>
        <v>No</v>
      </c>
      <c r="I59" s="7"/>
      <c r="J59" t="s">
        <v>231</v>
      </c>
      <c r="K59" t="s">
        <v>232</v>
      </c>
      <c r="L59" t="s">
        <v>233</v>
      </c>
      <c r="M59" s="1">
        <v>42580</v>
      </c>
      <c r="N59" t="s">
        <v>338</v>
      </c>
      <c r="Q59" s="7"/>
      <c r="R59">
        <v>3114</v>
      </c>
      <c r="S59">
        <v>1120</v>
      </c>
    </row>
    <row r="60" spans="1:19">
      <c r="A60" t="s">
        <v>343</v>
      </c>
      <c r="B60" s="1">
        <v>43353</v>
      </c>
      <c r="C60" s="2">
        <v>0.33333333333333331</v>
      </c>
      <c r="D60" s="1">
        <v>43354</v>
      </c>
      <c r="E60" s="2">
        <v>0.66666666666666663</v>
      </c>
      <c r="F60" t="s">
        <v>242</v>
      </c>
      <c r="G60" t="s">
        <v>235</v>
      </c>
      <c r="H60" t="str">
        <f t="shared" si="0"/>
        <v>Yes</v>
      </c>
      <c r="I60" s="7"/>
      <c r="J60" t="s">
        <v>33</v>
      </c>
      <c r="K60" t="s">
        <v>223</v>
      </c>
      <c r="L60" t="s">
        <v>295</v>
      </c>
      <c r="M60" s="1">
        <v>43349</v>
      </c>
      <c r="N60" t="s">
        <v>349</v>
      </c>
      <c r="Q60" s="7"/>
      <c r="R60">
        <v>684</v>
      </c>
      <c r="S60">
        <v>400</v>
      </c>
    </row>
    <row r="61" spans="1:19">
      <c r="A61" t="s">
        <v>330</v>
      </c>
      <c r="B61" s="1">
        <v>43354</v>
      </c>
      <c r="C61" s="2">
        <v>0.9375</v>
      </c>
      <c r="D61" s="1">
        <v>43355</v>
      </c>
      <c r="E61" s="2">
        <v>0.79166666666666663</v>
      </c>
      <c r="F61" t="s">
        <v>235</v>
      </c>
      <c r="G61" t="s">
        <v>236</v>
      </c>
      <c r="H61" t="str">
        <f t="shared" si="0"/>
        <v>Yes</v>
      </c>
      <c r="I61" s="7"/>
      <c r="J61" t="s">
        <v>217</v>
      </c>
      <c r="K61" t="s">
        <v>228</v>
      </c>
      <c r="L61" t="s">
        <v>228</v>
      </c>
      <c r="M61" s="1">
        <v>42768</v>
      </c>
      <c r="N61" t="s">
        <v>229</v>
      </c>
      <c r="Q61" s="7"/>
      <c r="R61">
        <v>165</v>
      </c>
    </row>
    <row r="62" spans="1:19">
      <c r="A62" t="s">
        <v>350</v>
      </c>
      <c r="B62" s="1">
        <v>43355</v>
      </c>
      <c r="C62" s="2">
        <v>0.54166666666666663</v>
      </c>
      <c r="D62" s="1">
        <v>43355</v>
      </c>
      <c r="E62" s="2">
        <v>0.95833333333333337</v>
      </c>
      <c r="F62" t="s">
        <v>236</v>
      </c>
      <c r="G62" t="s">
        <v>236</v>
      </c>
      <c r="H62" t="str">
        <f t="shared" ref="H62:H112" si="1">IF(F62=G62,"No","Yes")</f>
        <v>No</v>
      </c>
      <c r="I62" s="7"/>
      <c r="J62" t="s">
        <v>33</v>
      </c>
      <c r="K62" t="s">
        <v>223</v>
      </c>
      <c r="L62" t="s">
        <v>336</v>
      </c>
      <c r="M62" s="1">
        <v>42953</v>
      </c>
      <c r="N62" t="s">
        <v>351</v>
      </c>
      <c r="Q62" s="7"/>
      <c r="R62" s="3">
        <v>2100</v>
      </c>
      <c r="S62">
        <v>607</v>
      </c>
    </row>
    <row r="63" spans="1:19">
      <c r="A63" t="s">
        <v>240</v>
      </c>
      <c r="B63" s="1">
        <v>43355</v>
      </c>
      <c r="C63" s="2">
        <v>0.29166666666666669</v>
      </c>
      <c r="D63" s="1">
        <v>43355</v>
      </c>
      <c r="E63" s="2">
        <v>0.75</v>
      </c>
      <c r="F63" t="s">
        <v>236</v>
      </c>
      <c r="G63" t="s">
        <v>236</v>
      </c>
      <c r="H63" t="str">
        <f t="shared" si="1"/>
        <v>No</v>
      </c>
      <c r="I63" s="7"/>
      <c r="J63" t="s">
        <v>231</v>
      </c>
      <c r="K63" t="s">
        <v>232</v>
      </c>
      <c r="L63" t="s">
        <v>233</v>
      </c>
      <c r="M63" s="1">
        <v>42580</v>
      </c>
      <c r="N63" t="s">
        <v>225</v>
      </c>
      <c r="Q63" s="7"/>
      <c r="R63">
        <v>2038</v>
      </c>
      <c r="S63">
        <v>999</v>
      </c>
    </row>
    <row r="64" spans="1:19">
      <c r="A64" t="s">
        <v>237</v>
      </c>
      <c r="B64" s="1">
        <v>43357</v>
      </c>
      <c r="C64" s="2">
        <v>0.70833333333333337</v>
      </c>
      <c r="D64" s="1">
        <v>43358</v>
      </c>
      <c r="E64" s="2">
        <v>0.5625</v>
      </c>
      <c r="F64" t="s">
        <v>238</v>
      </c>
      <c r="G64" t="s">
        <v>216</v>
      </c>
      <c r="H64" t="str">
        <f t="shared" si="1"/>
        <v>Yes</v>
      </c>
      <c r="I64" s="7"/>
      <c r="J64" t="s">
        <v>33</v>
      </c>
      <c r="K64" t="s">
        <v>228</v>
      </c>
      <c r="L64" t="s">
        <v>228</v>
      </c>
      <c r="M64" s="1">
        <v>42768</v>
      </c>
      <c r="N64" t="s">
        <v>239</v>
      </c>
      <c r="Q64" s="7"/>
      <c r="R64">
        <v>98</v>
      </c>
      <c r="S64">
        <v>26</v>
      </c>
    </row>
    <row r="65" spans="1:19">
      <c r="A65" t="s">
        <v>343</v>
      </c>
      <c r="B65" s="1">
        <v>43358</v>
      </c>
      <c r="C65" s="2">
        <v>0.375</v>
      </c>
      <c r="D65" s="1">
        <v>43358</v>
      </c>
      <c r="E65" s="2">
        <v>0.79166666666666663</v>
      </c>
      <c r="F65" t="s">
        <v>216</v>
      </c>
      <c r="G65" t="s">
        <v>216</v>
      </c>
      <c r="H65" t="str">
        <f t="shared" si="1"/>
        <v>No</v>
      </c>
      <c r="I65" s="7"/>
      <c r="J65" t="s">
        <v>217</v>
      </c>
      <c r="K65" t="s">
        <v>223</v>
      </c>
      <c r="L65" t="s">
        <v>295</v>
      </c>
      <c r="M65" s="1">
        <v>42602</v>
      </c>
      <c r="N65" t="s">
        <v>344</v>
      </c>
      <c r="Q65" s="7"/>
      <c r="R65">
        <v>684</v>
      </c>
      <c r="S65">
        <v>400</v>
      </c>
    </row>
    <row r="66" spans="1:19">
      <c r="A66" t="s">
        <v>352</v>
      </c>
      <c r="B66" s="1">
        <v>43358</v>
      </c>
      <c r="C66" s="2">
        <v>0.29166666666666669</v>
      </c>
      <c r="D66" s="1">
        <v>43358</v>
      </c>
      <c r="E66" s="2">
        <v>0.75</v>
      </c>
      <c r="F66" t="s">
        <v>216</v>
      </c>
      <c r="G66" t="s">
        <v>216</v>
      </c>
      <c r="H66" t="str">
        <f t="shared" si="1"/>
        <v>No</v>
      </c>
      <c r="I66" s="7"/>
      <c r="J66" t="s">
        <v>231</v>
      </c>
      <c r="K66" t="s">
        <v>223</v>
      </c>
      <c r="L66" t="s">
        <v>298</v>
      </c>
      <c r="M66" s="1">
        <v>42628</v>
      </c>
      <c r="N66" t="s">
        <v>353</v>
      </c>
      <c r="Q66" s="7"/>
      <c r="R66" s="3">
        <v>2700</v>
      </c>
      <c r="S66" s="3">
        <v>1000</v>
      </c>
    </row>
    <row r="67" spans="1:19">
      <c r="A67" t="s">
        <v>307</v>
      </c>
      <c r="B67" s="1">
        <v>43358</v>
      </c>
      <c r="C67" s="2">
        <v>0.33333333333333331</v>
      </c>
      <c r="D67" s="1">
        <v>43358</v>
      </c>
      <c r="E67" s="2">
        <v>0.75</v>
      </c>
      <c r="F67" t="s">
        <v>216</v>
      </c>
      <c r="G67" t="s">
        <v>216</v>
      </c>
      <c r="H67" t="str">
        <f t="shared" si="1"/>
        <v>No</v>
      </c>
      <c r="I67" s="7"/>
      <c r="J67" t="s">
        <v>33</v>
      </c>
      <c r="K67" t="s">
        <v>218</v>
      </c>
      <c r="L67" t="s">
        <v>309</v>
      </c>
      <c r="M67" s="1">
        <v>42850</v>
      </c>
      <c r="N67" t="s">
        <v>348</v>
      </c>
      <c r="Q67" s="7"/>
      <c r="R67">
        <v>220</v>
      </c>
    </row>
    <row r="68" spans="1:19">
      <c r="A68" t="s">
        <v>230</v>
      </c>
      <c r="B68" s="1">
        <v>43359</v>
      </c>
      <c r="C68" s="2">
        <v>0.33333333333333331</v>
      </c>
      <c r="D68" s="1">
        <v>43359</v>
      </c>
      <c r="E68" s="2">
        <v>0.70833333333333337</v>
      </c>
      <c r="F68" t="s">
        <v>227</v>
      </c>
      <c r="G68" t="s">
        <v>227</v>
      </c>
      <c r="H68" t="str">
        <f t="shared" si="1"/>
        <v>No</v>
      </c>
      <c r="I68" s="7"/>
      <c r="J68" t="s">
        <v>231</v>
      </c>
      <c r="K68" t="s">
        <v>232</v>
      </c>
      <c r="L68" t="s">
        <v>233</v>
      </c>
      <c r="M68" s="1">
        <v>42580</v>
      </c>
      <c r="N68" t="s">
        <v>234</v>
      </c>
      <c r="Q68" s="7"/>
      <c r="R68">
        <v>2000</v>
      </c>
      <c r="S68">
        <v>790</v>
      </c>
    </row>
    <row r="69" spans="1:19">
      <c r="A69" t="s">
        <v>276</v>
      </c>
      <c r="B69" s="1">
        <v>43360</v>
      </c>
      <c r="C69" s="2">
        <v>0.29166666666666669</v>
      </c>
      <c r="D69" s="1">
        <v>43360</v>
      </c>
      <c r="E69" s="2">
        <v>0.75</v>
      </c>
      <c r="F69" t="s">
        <v>242</v>
      </c>
      <c r="G69" t="s">
        <v>242</v>
      </c>
      <c r="H69" t="str">
        <f t="shared" si="1"/>
        <v>No</v>
      </c>
      <c r="I69" s="7"/>
      <c r="J69" t="s">
        <v>231</v>
      </c>
      <c r="K69" t="s">
        <v>232</v>
      </c>
      <c r="L69" t="s">
        <v>233</v>
      </c>
      <c r="M69" s="1">
        <v>42580</v>
      </c>
      <c r="N69" t="s">
        <v>277</v>
      </c>
      <c r="Q69" s="7"/>
      <c r="R69">
        <v>2100</v>
      </c>
      <c r="S69">
        <v>869</v>
      </c>
    </row>
    <row r="70" spans="1:19">
      <c r="A70" t="s">
        <v>273</v>
      </c>
      <c r="B70" s="1">
        <v>43361</v>
      </c>
      <c r="C70" s="2">
        <v>0.33333333333333331</v>
      </c>
      <c r="D70" s="1">
        <v>43361</v>
      </c>
      <c r="E70" s="2">
        <v>0.70833333333333337</v>
      </c>
      <c r="F70" t="s">
        <v>235</v>
      </c>
      <c r="G70" t="s">
        <v>235</v>
      </c>
      <c r="H70" t="str">
        <f t="shared" si="1"/>
        <v>No</v>
      </c>
      <c r="I70" s="7"/>
      <c r="J70" t="s">
        <v>231</v>
      </c>
      <c r="K70" t="s">
        <v>223</v>
      </c>
      <c r="L70" t="s">
        <v>224</v>
      </c>
      <c r="M70" s="1">
        <v>42584</v>
      </c>
      <c r="N70" t="s">
        <v>274</v>
      </c>
      <c r="Q70" s="7"/>
      <c r="R70">
        <v>4259</v>
      </c>
      <c r="S70">
        <v>1730</v>
      </c>
    </row>
    <row r="71" spans="1:19">
      <c r="A71" t="s">
        <v>237</v>
      </c>
      <c r="B71" s="1">
        <v>43363</v>
      </c>
      <c r="C71" s="2">
        <v>0.89583333333333337</v>
      </c>
      <c r="D71" s="1">
        <v>43364</v>
      </c>
      <c r="E71" s="2">
        <v>0.5625</v>
      </c>
      <c r="F71" t="s">
        <v>222</v>
      </c>
      <c r="G71" t="s">
        <v>238</v>
      </c>
      <c r="H71" t="str">
        <f t="shared" si="1"/>
        <v>Yes</v>
      </c>
      <c r="I71" s="7"/>
      <c r="J71" t="s">
        <v>33</v>
      </c>
      <c r="K71" t="s">
        <v>228</v>
      </c>
      <c r="L71" t="s">
        <v>228</v>
      </c>
      <c r="M71" s="1">
        <v>42768</v>
      </c>
      <c r="N71" t="s">
        <v>239</v>
      </c>
      <c r="Q71" s="7"/>
      <c r="R71">
        <v>98</v>
      </c>
      <c r="S71">
        <v>26</v>
      </c>
    </row>
    <row r="72" spans="1:19">
      <c r="A72" t="s">
        <v>345</v>
      </c>
      <c r="B72" s="1">
        <v>43364</v>
      </c>
      <c r="C72" s="2">
        <v>0.33333333333333331</v>
      </c>
      <c r="D72" s="1">
        <v>43364</v>
      </c>
      <c r="E72" s="2">
        <v>0.91666666666666663</v>
      </c>
      <c r="F72" t="s">
        <v>238</v>
      </c>
      <c r="G72" t="s">
        <v>238</v>
      </c>
      <c r="H72" t="str">
        <f t="shared" si="1"/>
        <v>No</v>
      </c>
      <c r="I72" s="7"/>
      <c r="J72" t="s">
        <v>231</v>
      </c>
      <c r="K72" t="s">
        <v>218</v>
      </c>
      <c r="L72" t="s">
        <v>346</v>
      </c>
      <c r="M72" s="1">
        <v>42719</v>
      </c>
      <c r="N72" t="s">
        <v>347</v>
      </c>
      <c r="Q72" s="7"/>
      <c r="R72">
        <v>795</v>
      </c>
      <c r="S72">
        <v>545</v>
      </c>
    </row>
    <row r="73" spans="1:19">
      <c r="A73" t="s">
        <v>307</v>
      </c>
      <c r="B73" s="1">
        <v>43366</v>
      </c>
      <c r="C73" s="2">
        <v>0.41666666666666669</v>
      </c>
      <c r="D73" s="1">
        <v>43366</v>
      </c>
      <c r="E73" s="2">
        <v>0.79166666666666663</v>
      </c>
      <c r="F73" t="s">
        <v>227</v>
      </c>
      <c r="G73" t="s">
        <v>227</v>
      </c>
      <c r="H73" t="str">
        <f t="shared" si="1"/>
        <v>No</v>
      </c>
      <c r="I73" s="7"/>
      <c r="J73" t="s">
        <v>33</v>
      </c>
      <c r="K73" t="s">
        <v>218</v>
      </c>
      <c r="L73" t="s">
        <v>309</v>
      </c>
      <c r="M73" s="1">
        <v>42850</v>
      </c>
      <c r="N73" t="s">
        <v>348</v>
      </c>
      <c r="Q73" s="7"/>
      <c r="R73">
        <v>220</v>
      </c>
    </row>
    <row r="74" spans="1:19">
      <c r="A74" t="s">
        <v>254</v>
      </c>
      <c r="B74" s="1">
        <v>43367</v>
      </c>
      <c r="C74" s="2">
        <v>0.29166666666666669</v>
      </c>
      <c r="D74" s="1">
        <v>43367</v>
      </c>
      <c r="E74" s="2">
        <v>0.625</v>
      </c>
      <c r="F74" t="s">
        <v>242</v>
      </c>
      <c r="G74" t="s">
        <v>242</v>
      </c>
      <c r="H74" t="str">
        <f t="shared" si="1"/>
        <v>No</v>
      </c>
      <c r="I74" s="7"/>
      <c r="J74" t="s">
        <v>231</v>
      </c>
      <c r="K74" t="s">
        <v>232</v>
      </c>
      <c r="L74" t="s">
        <v>233</v>
      </c>
      <c r="M74" s="1">
        <v>42821</v>
      </c>
      <c r="N74" t="s">
        <v>342</v>
      </c>
      <c r="Q74" s="7"/>
      <c r="R74">
        <v>4974</v>
      </c>
      <c r="S74">
        <v>1480</v>
      </c>
    </row>
    <row r="75" spans="1:19">
      <c r="A75" t="s">
        <v>352</v>
      </c>
      <c r="B75" s="1">
        <v>43368</v>
      </c>
      <c r="C75" s="2">
        <v>0.29166666666666669</v>
      </c>
      <c r="D75" s="1">
        <v>43368</v>
      </c>
      <c r="E75" s="2">
        <v>0.75</v>
      </c>
      <c r="F75" t="s">
        <v>235</v>
      </c>
      <c r="G75" t="s">
        <v>235</v>
      </c>
      <c r="H75" t="str">
        <f t="shared" si="1"/>
        <v>No</v>
      </c>
      <c r="I75" s="7"/>
      <c r="J75" t="s">
        <v>33</v>
      </c>
      <c r="K75" t="s">
        <v>223</v>
      </c>
      <c r="L75" t="s">
        <v>298</v>
      </c>
      <c r="M75" s="1">
        <v>42628</v>
      </c>
      <c r="N75" t="s">
        <v>353</v>
      </c>
      <c r="Q75" s="7"/>
      <c r="R75" s="3">
        <v>2700</v>
      </c>
      <c r="S75" s="3">
        <v>1000</v>
      </c>
    </row>
    <row r="76" spans="1:19">
      <c r="A76" t="s">
        <v>273</v>
      </c>
      <c r="B76" s="1">
        <v>43368</v>
      </c>
      <c r="C76" s="2">
        <v>0.33333333333333331</v>
      </c>
      <c r="D76" s="1">
        <v>43368</v>
      </c>
      <c r="E76" s="2">
        <v>0.70833333333333337</v>
      </c>
      <c r="F76" t="s">
        <v>235</v>
      </c>
      <c r="G76" t="s">
        <v>235</v>
      </c>
      <c r="H76" t="str">
        <f t="shared" si="1"/>
        <v>No</v>
      </c>
      <c r="I76" s="7"/>
      <c r="J76" t="s">
        <v>231</v>
      </c>
      <c r="K76" t="s">
        <v>223</v>
      </c>
      <c r="L76" t="s">
        <v>224</v>
      </c>
      <c r="M76" s="1">
        <v>42689</v>
      </c>
      <c r="N76" t="s">
        <v>274</v>
      </c>
      <c r="Q76" s="7"/>
      <c r="R76">
        <v>4309</v>
      </c>
      <c r="S76">
        <v>1730</v>
      </c>
    </row>
    <row r="77" spans="1:19">
      <c r="A77" t="s">
        <v>237</v>
      </c>
      <c r="B77" s="1">
        <v>43369</v>
      </c>
      <c r="C77" s="2">
        <v>0.89583333333333337</v>
      </c>
      <c r="D77" s="1">
        <v>43370</v>
      </c>
      <c r="E77" s="2">
        <v>0.5625</v>
      </c>
      <c r="F77" t="s">
        <v>236</v>
      </c>
      <c r="G77" t="s">
        <v>222</v>
      </c>
      <c r="H77" t="str">
        <f t="shared" si="1"/>
        <v>Yes</v>
      </c>
      <c r="I77" s="7"/>
      <c r="J77" t="s">
        <v>33</v>
      </c>
      <c r="K77" t="s">
        <v>228</v>
      </c>
      <c r="L77" t="s">
        <v>228</v>
      </c>
      <c r="M77" s="1">
        <v>42768</v>
      </c>
      <c r="N77" t="s">
        <v>239</v>
      </c>
      <c r="Q77" s="7"/>
      <c r="R77">
        <v>98</v>
      </c>
      <c r="S77">
        <v>26</v>
      </c>
    </row>
    <row r="78" spans="1:19">
      <c r="A78" t="s">
        <v>240</v>
      </c>
      <c r="B78" s="1">
        <v>43369</v>
      </c>
      <c r="C78" s="2">
        <v>0.29166666666666669</v>
      </c>
      <c r="D78" s="1">
        <v>43369</v>
      </c>
      <c r="E78" s="2">
        <v>0.75</v>
      </c>
      <c r="F78" t="s">
        <v>236</v>
      </c>
      <c r="G78" t="s">
        <v>236</v>
      </c>
      <c r="H78" t="str">
        <f t="shared" si="1"/>
        <v>No</v>
      </c>
      <c r="I78" s="7"/>
      <c r="J78" t="s">
        <v>33</v>
      </c>
      <c r="K78" t="s">
        <v>232</v>
      </c>
      <c r="L78" t="s">
        <v>233</v>
      </c>
      <c r="M78" s="1">
        <v>42580</v>
      </c>
      <c r="N78" t="s">
        <v>225</v>
      </c>
      <c r="Q78" s="7"/>
      <c r="R78">
        <v>2038</v>
      </c>
      <c r="S78">
        <v>999</v>
      </c>
    </row>
    <row r="79" spans="1:19">
      <c r="A79" t="s">
        <v>334</v>
      </c>
      <c r="B79" s="1">
        <v>43369</v>
      </c>
      <c r="C79" s="2">
        <v>0.29166666666666669</v>
      </c>
      <c r="D79" s="1">
        <v>43369</v>
      </c>
      <c r="E79" s="2">
        <v>0.79166666666666663</v>
      </c>
      <c r="F79" t="s">
        <v>236</v>
      </c>
      <c r="G79" t="s">
        <v>236</v>
      </c>
      <c r="H79" t="str">
        <f t="shared" si="1"/>
        <v>No</v>
      </c>
      <c r="I79" s="7"/>
      <c r="J79" t="s">
        <v>231</v>
      </c>
      <c r="K79" t="s">
        <v>232</v>
      </c>
      <c r="L79" t="s">
        <v>233</v>
      </c>
      <c r="M79" s="1">
        <v>42821</v>
      </c>
      <c r="N79" t="s">
        <v>338</v>
      </c>
      <c r="Q79" s="7"/>
      <c r="R79">
        <v>3114</v>
      </c>
      <c r="S79">
        <v>1120</v>
      </c>
    </row>
    <row r="80" spans="1:19">
      <c r="A80" t="s">
        <v>215</v>
      </c>
      <c r="B80" s="1">
        <v>43369</v>
      </c>
      <c r="C80" s="2">
        <v>0.25</v>
      </c>
      <c r="D80" s="1">
        <v>43369</v>
      </c>
      <c r="E80" s="2">
        <v>0.625</v>
      </c>
      <c r="F80" t="s">
        <v>236</v>
      </c>
      <c r="G80" t="s">
        <v>236</v>
      </c>
      <c r="H80" t="str">
        <f t="shared" si="1"/>
        <v>No</v>
      </c>
      <c r="I80" s="7"/>
      <c r="J80" t="s">
        <v>217</v>
      </c>
      <c r="K80" t="s">
        <v>218</v>
      </c>
      <c r="L80" t="s">
        <v>219</v>
      </c>
      <c r="M80" s="1">
        <v>42739</v>
      </c>
      <c r="N80" t="s">
        <v>220</v>
      </c>
      <c r="Q80" s="7"/>
      <c r="R80">
        <v>197</v>
      </c>
      <c r="S80">
        <v>65</v>
      </c>
    </row>
    <row r="81" spans="1:19">
      <c r="A81" t="s">
        <v>278</v>
      </c>
      <c r="B81" s="1">
        <v>43370</v>
      </c>
      <c r="C81" s="2">
        <v>0.33333333333333331</v>
      </c>
      <c r="D81" s="1">
        <v>43370</v>
      </c>
      <c r="E81" s="2">
        <v>0.75</v>
      </c>
      <c r="F81" t="s">
        <v>222</v>
      </c>
      <c r="G81" t="s">
        <v>222</v>
      </c>
      <c r="H81" t="str">
        <f t="shared" si="1"/>
        <v>No</v>
      </c>
      <c r="I81" s="7"/>
      <c r="J81" t="s">
        <v>231</v>
      </c>
      <c r="K81" t="s">
        <v>218</v>
      </c>
      <c r="L81" t="s">
        <v>279</v>
      </c>
      <c r="M81" s="1">
        <v>42485</v>
      </c>
      <c r="N81" t="s">
        <v>354</v>
      </c>
      <c r="Q81" s="7"/>
      <c r="R81">
        <v>1799</v>
      </c>
      <c r="S81">
        <v>936</v>
      </c>
    </row>
    <row r="82" spans="1:19">
      <c r="A82" t="s">
        <v>286</v>
      </c>
      <c r="B82" s="1">
        <v>43371</v>
      </c>
      <c r="C82" s="2">
        <v>0.29166666666666669</v>
      </c>
      <c r="D82" s="1">
        <v>43371</v>
      </c>
      <c r="E82" s="2">
        <v>0.66666666666666663</v>
      </c>
      <c r="F82" t="s">
        <v>238</v>
      </c>
      <c r="G82" t="s">
        <v>238</v>
      </c>
      <c r="H82" t="str">
        <f t="shared" si="1"/>
        <v>No</v>
      </c>
      <c r="I82" s="7"/>
      <c r="J82" t="s">
        <v>33</v>
      </c>
      <c r="K82" t="s">
        <v>223</v>
      </c>
      <c r="L82" t="s">
        <v>355</v>
      </c>
      <c r="M82" s="1">
        <v>43017</v>
      </c>
      <c r="N82" t="s">
        <v>356</v>
      </c>
      <c r="Q82" s="7"/>
      <c r="R82">
        <v>2050</v>
      </c>
      <c r="S82">
        <v>607</v>
      </c>
    </row>
    <row r="83" spans="1:19">
      <c r="A83" t="s">
        <v>270</v>
      </c>
      <c r="B83" s="1">
        <v>43371</v>
      </c>
      <c r="C83" s="2">
        <v>0.29166666666666669</v>
      </c>
      <c r="D83" s="1">
        <v>43371</v>
      </c>
      <c r="E83" s="2">
        <v>0.75</v>
      </c>
      <c r="F83" t="s">
        <v>238</v>
      </c>
      <c r="G83" t="s">
        <v>238</v>
      </c>
      <c r="H83" t="str">
        <f t="shared" si="1"/>
        <v>No</v>
      </c>
      <c r="I83" s="7"/>
      <c r="J83" t="s">
        <v>217</v>
      </c>
      <c r="K83" t="s">
        <v>232</v>
      </c>
      <c r="M83" s="1">
        <v>42774</v>
      </c>
      <c r="N83" t="s">
        <v>357</v>
      </c>
      <c r="Q83" s="7"/>
      <c r="R83">
        <v>208</v>
      </c>
    </row>
    <row r="84" spans="1:19">
      <c r="A84" t="s">
        <v>358</v>
      </c>
      <c r="B84" s="1">
        <v>43371</v>
      </c>
      <c r="C84" s="2">
        <v>0.27083333333333331</v>
      </c>
      <c r="D84" s="1">
        <v>43371</v>
      </c>
      <c r="E84" s="2">
        <v>0.64583333333333337</v>
      </c>
      <c r="F84" t="s">
        <v>238</v>
      </c>
      <c r="G84" t="s">
        <v>238</v>
      </c>
      <c r="H84" t="str">
        <f t="shared" si="1"/>
        <v>No</v>
      </c>
      <c r="I84" s="7"/>
      <c r="J84" t="s">
        <v>231</v>
      </c>
      <c r="K84" t="s">
        <v>218</v>
      </c>
      <c r="L84" t="s">
        <v>332</v>
      </c>
      <c r="M84" s="1">
        <v>42598</v>
      </c>
      <c r="N84" t="s">
        <v>359</v>
      </c>
      <c r="Q84" s="7"/>
      <c r="R84">
        <v>3604</v>
      </c>
      <c r="S84">
        <v>1346</v>
      </c>
    </row>
    <row r="85" spans="1:19">
      <c r="A85" t="s">
        <v>230</v>
      </c>
      <c r="B85" s="1">
        <v>43373</v>
      </c>
      <c r="C85" s="2">
        <v>0.33333333333333331</v>
      </c>
      <c r="D85" s="1">
        <v>43373</v>
      </c>
      <c r="E85" s="2">
        <v>0.70833333333333337</v>
      </c>
      <c r="F85" t="s">
        <v>227</v>
      </c>
      <c r="G85" t="s">
        <v>227</v>
      </c>
      <c r="H85" t="str">
        <f t="shared" si="1"/>
        <v>No</v>
      </c>
      <c r="I85" s="7"/>
      <c r="J85" t="s">
        <v>231</v>
      </c>
      <c r="K85" t="s">
        <v>232</v>
      </c>
      <c r="L85" t="s">
        <v>233</v>
      </c>
      <c r="M85" s="1">
        <v>42580</v>
      </c>
      <c r="N85" t="s">
        <v>234</v>
      </c>
      <c r="Q85" s="7"/>
      <c r="R85">
        <v>2000</v>
      </c>
      <c r="S85">
        <v>790</v>
      </c>
    </row>
    <row r="86" spans="1:19">
      <c r="A86" t="s">
        <v>343</v>
      </c>
      <c r="B86" s="1">
        <v>43373</v>
      </c>
      <c r="C86" s="2">
        <v>0.41666666666666669</v>
      </c>
      <c r="D86" s="1">
        <v>43373</v>
      </c>
      <c r="E86" s="2">
        <v>0.91666666666666663</v>
      </c>
      <c r="F86" t="s">
        <v>227</v>
      </c>
      <c r="G86" t="s">
        <v>227</v>
      </c>
      <c r="H86" t="str">
        <f t="shared" si="1"/>
        <v>No</v>
      </c>
      <c r="I86" s="7"/>
      <c r="J86" t="s">
        <v>33</v>
      </c>
      <c r="K86" t="s">
        <v>360</v>
      </c>
      <c r="L86" t="s">
        <v>295</v>
      </c>
      <c r="M86" s="1">
        <v>42663</v>
      </c>
      <c r="N86" t="s">
        <v>361</v>
      </c>
      <c r="Q86" s="7"/>
      <c r="R86">
        <v>684</v>
      </c>
      <c r="S86">
        <v>400</v>
      </c>
    </row>
    <row r="87" spans="1:19">
      <c r="A87" t="s">
        <v>334</v>
      </c>
      <c r="B87" s="1">
        <v>43374</v>
      </c>
      <c r="C87" s="2">
        <v>0.29166666666666669</v>
      </c>
      <c r="D87" s="1">
        <v>43374</v>
      </c>
      <c r="E87" s="2">
        <v>0.70833333333333337</v>
      </c>
      <c r="F87" t="s">
        <v>242</v>
      </c>
      <c r="G87" t="s">
        <v>242</v>
      </c>
      <c r="H87" t="str">
        <f t="shared" si="1"/>
        <v>No</v>
      </c>
      <c r="I87" s="7"/>
      <c r="J87" t="s">
        <v>231</v>
      </c>
      <c r="K87" t="s">
        <v>232</v>
      </c>
      <c r="L87" t="s">
        <v>233</v>
      </c>
      <c r="M87" s="1">
        <v>42580</v>
      </c>
      <c r="N87" t="s">
        <v>338</v>
      </c>
      <c r="Q87" s="7"/>
      <c r="R87">
        <v>3114</v>
      </c>
      <c r="S87">
        <v>1120</v>
      </c>
    </row>
    <row r="88" spans="1:19">
      <c r="A88" t="s">
        <v>352</v>
      </c>
      <c r="B88" s="1">
        <v>43378</v>
      </c>
      <c r="C88" s="2">
        <v>0.29166666666666669</v>
      </c>
      <c r="D88" s="1">
        <v>43378</v>
      </c>
      <c r="E88" s="2">
        <v>0.75</v>
      </c>
      <c r="F88" t="s">
        <v>238</v>
      </c>
      <c r="G88" t="s">
        <v>238</v>
      </c>
      <c r="H88" t="str">
        <f t="shared" si="1"/>
        <v>No</v>
      </c>
      <c r="I88" s="7"/>
      <c r="J88" t="s">
        <v>231</v>
      </c>
      <c r="K88" t="s">
        <v>223</v>
      </c>
      <c r="L88" t="s">
        <v>298</v>
      </c>
      <c r="M88" s="1">
        <v>42628</v>
      </c>
      <c r="N88" t="s">
        <v>353</v>
      </c>
      <c r="Q88" s="7"/>
      <c r="R88" s="3">
        <v>2700</v>
      </c>
      <c r="S88" s="3">
        <v>1000</v>
      </c>
    </row>
    <row r="89" spans="1:19">
      <c r="A89" t="s">
        <v>276</v>
      </c>
      <c r="B89" s="1">
        <v>43379</v>
      </c>
      <c r="C89" s="2">
        <v>0.29166666666666669</v>
      </c>
      <c r="D89" s="1">
        <v>43379</v>
      </c>
      <c r="E89" s="2">
        <v>0.75</v>
      </c>
      <c r="F89" t="s">
        <v>216</v>
      </c>
      <c r="G89" t="s">
        <v>216</v>
      </c>
      <c r="H89" t="str">
        <f t="shared" si="1"/>
        <v>No</v>
      </c>
      <c r="I89" s="7"/>
      <c r="J89" t="s">
        <v>231</v>
      </c>
      <c r="K89" t="s">
        <v>232</v>
      </c>
      <c r="L89" t="s">
        <v>233</v>
      </c>
      <c r="M89" s="1">
        <v>42580</v>
      </c>
      <c r="N89" t="s">
        <v>277</v>
      </c>
      <c r="Q89" s="7"/>
      <c r="R89">
        <v>2100</v>
      </c>
      <c r="S89">
        <v>869</v>
      </c>
    </row>
    <row r="90" spans="1:19">
      <c r="A90" t="s">
        <v>254</v>
      </c>
      <c r="B90" s="1">
        <v>43380</v>
      </c>
      <c r="C90" s="2">
        <v>0.33333333333333331</v>
      </c>
      <c r="D90" s="1">
        <v>43380</v>
      </c>
      <c r="E90" s="2">
        <v>0.70833333333333337</v>
      </c>
      <c r="F90" t="s">
        <v>227</v>
      </c>
      <c r="G90" t="s">
        <v>227</v>
      </c>
      <c r="H90" t="str">
        <f t="shared" si="1"/>
        <v>No</v>
      </c>
      <c r="I90" s="7"/>
      <c r="J90" t="s">
        <v>231</v>
      </c>
      <c r="K90" t="s">
        <v>232</v>
      </c>
      <c r="L90" t="s">
        <v>233</v>
      </c>
      <c r="M90" s="1">
        <v>42580</v>
      </c>
      <c r="N90" t="s">
        <v>342</v>
      </c>
      <c r="Q90" s="7"/>
      <c r="R90">
        <v>4974</v>
      </c>
      <c r="S90">
        <v>1480</v>
      </c>
    </row>
    <row r="91" spans="1:19">
      <c r="A91" t="s">
        <v>273</v>
      </c>
      <c r="B91" s="1">
        <v>43382</v>
      </c>
      <c r="C91" s="2">
        <v>0.33333333333333331</v>
      </c>
      <c r="D91" s="1">
        <v>43382</v>
      </c>
      <c r="E91" s="2">
        <v>0.70833333333333337</v>
      </c>
      <c r="F91" t="s">
        <v>235</v>
      </c>
      <c r="G91" t="s">
        <v>235</v>
      </c>
      <c r="H91" t="str">
        <f t="shared" si="1"/>
        <v>No</v>
      </c>
      <c r="I91" s="7"/>
      <c r="J91" t="s">
        <v>231</v>
      </c>
      <c r="K91" t="s">
        <v>223</v>
      </c>
      <c r="L91" t="s">
        <v>224</v>
      </c>
      <c r="M91" s="1">
        <v>42689</v>
      </c>
      <c r="N91" t="s">
        <v>274</v>
      </c>
      <c r="Q91" s="7"/>
      <c r="R91">
        <v>4295</v>
      </c>
      <c r="S91">
        <v>1730</v>
      </c>
    </row>
    <row r="92" spans="1:19">
      <c r="A92" t="s">
        <v>240</v>
      </c>
      <c r="B92" s="1">
        <v>43383</v>
      </c>
      <c r="C92" s="2">
        <v>0.29166666666666669</v>
      </c>
      <c r="D92" s="1">
        <v>43383</v>
      </c>
      <c r="E92" s="2">
        <v>0.75</v>
      </c>
      <c r="F92" t="s">
        <v>236</v>
      </c>
      <c r="G92" t="s">
        <v>236</v>
      </c>
      <c r="H92" t="str">
        <f t="shared" si="1"/>
        <v>No</v>
      </c>
      <c r="I92" s="7"/>
      <c r="J92" t="s">
        <v>231</v>
      </c>
      <c r="K92" t="s">
        <v>232</v>
      </c>
      <c r="L92" t="s">
        <v>233</v>
      </c>
      <c r="M92" s="1">
        <v>42580</v>
      </c>
      <c r="N92" t="s">
        <v>225</v>
      </c>
      <c r="Q92" s="7"/>
      <c r="R92">
        <v>2038</v>
      </c>
      <c r="S92">
        <v>999</v>
      </c>
    </row>
    <row r="93" spans="1:19">
      <c r="A93" t="s">
        <v>362</v>
      </c>
      <c r="B93" s="1">
        <v>43383</v>
      </c>
      <c r="C93" s="2">
        <v>0.5</v>
      </c>
      <c r="D93" s="1">
        <v>43383</v>
      </c>
      <c r="E93" s="2">
        <v>0.83333333333333337</v>
      </c>
      <c r="F93" t="s">
        <v>236</v>
      </c>
      <c r="G93" t="s">
        <v>236</v>
      </c>
      <c r="H93" t="str">
        <f t="shared" si="1"/>
        <v>No</v>
      </c>
      <c r="I93" s="7"/>
      <c r="J93" t="s">
        <v>33</v>
      </c>
      <c r="K93" t="s">
        <v>223</v>
      </c>
      <c r="L93" t="s">
        <v>224</v>
      </c>
      <c r="M93" s="1">
        <v>42662</v>
      </c>
      <c r="N93" t="s">
        <v>363</v>
      </c>
      <c r="Q93" s="7"/>
      <c r="R93">
        <v>2336</v>
      </c>
      <c r="S93">
        <v>1037</v>
      </c>
    </row>
    <row r="94" spans="1:19">
      <c r="A94" t="s">
        <v>358</v>
      </c>
      <c r="B94" s="1">
        <v>43384</v>
      </c>
      <c r="C94" s="2">
        <v>0.5</v>
      </c>
      <c r="D94" s="1">
        <v>43384</v>
      </c>
      <c r="E94" s="2">
        <v>0.91666666666666663</v>
      </c>
      <c r="F94" t="s">
        <v>222</v>
      </c>
      <c r="G94" t="s">
        <v>222</v>
      </c>
      <c r="H94" t="str">
        <f t="shared" si="1"/>
        <v>No</v>
      </c>
      <c r="I94" s="7"/>
      <c r="J94" t="s">
        <v>231</v>
      </c>
      <c r="K94" t="s">
        <v>218</v>
      </c>
      <c r="L94" t="s">
        <v>332</v>
      </c>
      <c r="M94" s="1">
        <v>42675</v>
      </c>
      <c r="N94" t="s">
        <v>359</v>
      </c>
      <c r="Q94" s="7"/>
      <c r="R94">
        <v>3604</v>
      </c>
      <c r="S94">
        <v>1346</v>
      </c>
    </row>
    <row r="95" spans="1:19">
      <c r="A95" t="s">
        <v>230</v>
      </c>
      <c r="B95" s="1">
        <v>43388</v>
      </c>
      <c r="C95" s="2">
        <v>0.29166666666666669</v>
      </c>
      <c r="D95" s="1">
        <v>43388</v>
      </c>
      <c r="E95" s="2">
        <v>0.66666666666666663</v>
      </c>
      <c r="F95" t="s">
        <v>242</v>
      </c>
      <c r="G95" t="s">
        <v>242</v>
      </c>
      <c r="H95" t="str">
        <f t="shared" si="1"/>
        <v>No</v>
      </c>
      <c r="I95" s="7"/>
      <c r="J95" t="s">
        <v>231</v>
      </c>
      <c r="K95" t="s">
        <v>232</v>
      </c>
      <c r="L95" t="s">
        <v>233</v>
      </c>
      <c r="M95" s="1">
        <v>42821</v>
      </c>
      <c r="N95" t="s">
        <v>234</v>
      </c>
      <c r="Q95" s="7"/>
      <c r="R95">
        <v>2000</v>
      </c>
      <c r="S95">
        <v>790</v>
      </c>
    </row>
    <row r="96" spans="1:19">
      <c r="A96" t="s">
        <v>263</v>
      </c>
      <c r="B96" s="1">
        <v>43389</v>
      </c>
      <c r="C96" s="2">
        <v>0.33333333333333331</v>
      </c>
      <c r="D96" s="1">
        <v>43389</v>
      </c>
      <c r="E96" s="2">
        <v>0.70833333333333337</v>
      </c>
      <c r="F96" t="s">
        <v>235</v>
      </c>
      <c r="G96" t="s">
        <v>235</v>
      </c>
      <c r="H96" t="str">
        <f t="shared" si="1"/>
        <v>No</v>
      </c>
      <c r="I96" s="7"/>
      <c r="J96" t="s">
        <v>33</v>
      </c>
      <c r="K96" t="s">
        <v>223</v>
      </c>
      <c r="L96" t="s">
        <v>224</v>
      </c>
      <c r="M96" s="1">
        <v>43053</v>
      </c>
      <c r="N96" t="s">
        <v>264</v>
      </c>
      <c r="Q96" s="7"/>
      <c r="R96">
        <v>1847</v>
      </c>
      <c r="S96">
        <v>1101</v>
      </c>
    </row>
    <row r="97" spans="1:19">
      <c r="A97" t="s">
        <v>334</v>
      </c>
      <c r="B97" t="s">
        <v>364</v>
      </c>
      <c r="C97" s="2">
        <v>0.29166666666666669</v>
      </c>
      <c r="D97" s="1">
        <v>43389</v>
      </c>
      <c r="E97" s="2">
        <v>0.75</v>
      </c>
      <c r="F97" t="s">
        <v>235</v>
      </c>
      <c r="G97" t="s">
        <v>235</v>
      </c>
      <c r="H97" t="str">
        <f t="shared" si="1"/>
        <v>No</v>
      </c>
      <c r="I97" s="7"/>
      <c r="J97" t="s">
        <v>231</v>
      </c>
      <c r="K97" t="s">
        <v>232</v>
      </c>
      <c r="L97" t="s">
        <v>233</v>
      </c>
      <c r="M97" s="1">
        <v>42821</v>
      </c>
      <c r="N97" t="s">
        <v>338</v>
      </c>
      <c r="Q97" s="7"/>
      <c r="R97">
        <v>3114</v>
      </c>
      <c r="S97">
        <v>1120</v>
      </c>
    </row>
    <row r="98" spans="1:19">
      <c r="A98" t="s">
        <v>215</v>
      </c>
      <c r="B98" s="1">
        <v>43389</v>
      </c>
      <c r="C98" s="2">
        <v>0.25</v>
      </c>
      <c r="D98" s="1">
        <v>43389</v>
      </c>
      <c r="E98" s="2">
        <v>0.625</v>
      </c>
      <c r="F98" t="s">
        <v>235</v>
      </c>
      <c r="G98" t="s">
        <v>235</v>
      </c>
      <c r="H98" t="str">
        <f t="shared" si="1"/>
        <v>No</v>
      </c>
      <c r="I98" s="7"/>
      <c r="J98" t="s">
        <v>217</v>
      </c>
      <c r="K98" t="s">
        <v>218</v>
      </c>
      <c r="L98" t="s">
        <v>219</v>
      </c>
      <c r="M98" s="1">
        <v>43096</v>
      </c>
      <c r="N98" t="s">
        <v>220</v>
      </c>
      <c r="Q98" s="7"/>
      <c r="R98">
        <v>197</v>
      </c>
      <c r="S98">
        <v>65</v>
      </c>
    </row>
    <row r="99" spans="1:19">
      <c r="A99" t="s">
        <v>365</v>
      </c>
      <c r="B99" s="1">
        <v>43391</v>
      </c>
      <c r="C99" s="2">
        <v>0.5625</v>
      </c>
      <c r="D99" s="1">
        <v>43391</v>
      </c>
      <c r="E99" s="2">
        <v>0.89583333333333337</v>
      </c>
      <c r="F99" t="s">
        <v>222</v>
      </c>
      <c r="G99" t="s">
        <v>222</v>
      </c>
      <c r="H99" t="str">
        <f t="shared" si="1"/>
        <v>No</v>
      </c>
      <c r="I99" s="7"/>
      <c r="J99" t="s">
        <v>217</v>
      </c>
      <c r="K99" t="s">
        <v>218</v>
      </c>
      <c r="L99" t="s">
        <v>366</v>
      </c>
      <c r="M99" s="1">
        <v>42542</v>
      </c>
      <c r="N99" t="s">
        <v>367</v>
      </c>
      <c r="Q99" s="7"/>
      <c r="R99">
        <v>540</v>
      </c>
      <c r="S99">
        <v>378</v>
      </c>
    </row>
    <row r="100" spans="1:19">
      <c r="A100" t="s">
        <v>286</v>
      </c>
      <c r="B100" s="1">
        <v>43391</v>
      </c>
      <c r="C100" s="2">
        <v>0.29166666666666669</v>
      </c>
      <c r="D100" s="1">
        <v>43391</v>
      </c>
      <c r="E100" s="2">
        <v>0.66666666666666663</v>
      </c>
      <c r="F100" t="s">
        <v>222</v>
      </c>
      <c r="G100" t="s">
        <v>222</v>
      </c>
      <c r="H100" t="str">
        <f t="shared" si="1"/>
        <v>No</v>
      </c>
      <c r="I100" s="7"/>
      <c r="J100" t="s">
        <v>33</v>
      </c>
      <c r="K100" t="s">
        <v>248</v>
      </c>
      <c r="L100" t="s">
        <v>355</v>
      </c>
      <c r="M100" s="1">
        <v>42922</v>
      </c>
      <c r="N100" t="s">
        <v>287</v>
      </c>
      <c r="Q100" s="7"/>
      <c r="R100">
        <v>2050</v>
      </c>
      <c r="S100">
        <v>607</v>
      </c>
    </row>
    <row r="101" spans="1:19">
      <c r="A101" t="s">
        <v>358</v>
      </c>
      <c r="B101" s="1">
        <v>43392</v>
      </c>
      <c r="C101" s="2">
        <v>0.29166666666666669</v>
      </c>
      <c r="D101" s="1">
        <v>43392</v>
      </c>
      <c r="E101" s="2">
        <v>0.70833333333333337</v>
      </c>
      <c r="F101" t="s">
        <v>238</v>
      </c>
      <c r="G101" t="s">
        <v>238</v>
      </c>
      <c r="H101" t="str">
        <f t="shared" si="1"/>
        <v>No</v>
      </c>
      <c r="I101" s="7"/>
      <c r="J101" t="s">
        <v>231</v>
      </c>
      <c r="K101" t="s">
        <v>218</v>
      </c>
      <c r="L101" t="s">
        <v>332</v>
      </c>
      <c r="M101" s="1">
        <v>42587</v>
      </c>
      <c r="N101" t="s">
        <v>359</v>
      </c>
      <c r="Q101" s="7"/>
      <c r="R101">
        <v>3604</v>
      </c>
      <c r="S101">
        <v>1346</v>
      </c>
    </row>
    <row r="102" spans="1:19">
      <c r="A102" t="s">
        <v>276</v>
      </c>
      <c r="B102" s="1">
        <v>43393</v>
      </c>
      <c r="C102" s="2">
        <v>0.29166666666666669</v>
      </c>
      <c r="D102" s="1">
        <v>43393</v>
      </c>
      <c r="E102" s="2">
        <v>0.75</v>
      </c>
      <c r="F102" t="s">
        <v>216</v>
      </c>
      <c r="G102" t="s">
        <v>216</v>
      </c>
      <c r="H102" t="str">
        <f t="shared" si="1"/>
        <v>No</v>
      </c>
      <c r="I102" s="7"/>
      <c r="J102" t="s">
        <v>231</v>
      </c>
      <c r="K102" t="s">
        <v>232</v>
      </c>
      <c r="L102" t="s">
        <v>233</v>
      </c>
      <c r="M102" s="1">
        <v>42580</v>
      </c>
      <c r="N102" t="s">
        <v>277</v>
      </c>
      <c r="Q102" s="7"/>
      <c r="R102">
        <v>2100</v>
      </c>
      <c r="S102">
        <v>869</v>
      </c>
    </row>
    <row r="103" spans="1:19">
      <c r="A103" t="s">
        <v>368</v>
      </c>
      <c r="B103" s="1">
        <v>43393</v>
      </c>
      <c r="C103" s="2">
        <v>0.41666666666666669</v>
      </c>
      <c r="D103" s="1">
        <v>43393</v>
      </c>
      <c r="E103" s="2">
        <v>0.95833333333333337</v>
      </c>
      <c r="F103" t="s">
        <v>216</v>
      </c>
      <c r="G103" t="s">
        <v>216</v>
      </c>
      <c r="H103" t="str">
        <f t="shared" si="1"/>
        <v>No</v>
      </c>
      <c r="I103" s="7"/>
      <c r="J103" t="s">
        <v>33</v>
      </c>
      <c r="K103" t="s">
        <v>223</v>
      </c>
      <c r="L103" t="s">
        <v>266</v>
      </c>
      <c r="M103" s="1">
        <v>42709</v>
      </c>
      <c r="N103" t="s">
        <v>267</v>
      </c>
      <c r="Q103" s="7"/>
      <c r="R103">
        <v>490</v>
      </c>
      <c r="S103">
        <v>324</v>
      </c>
    </row>
    <row r="104" spans="1:19">
      <c r="A104" t="s">
        <v>254</v>
      </c>
      <c r="B104" s="1">
        <v>43394</v>
      </c>
      <c r="C104" s="2">
        <v>0.33333333333333331</v>
      </c>
      <c r="D104" s="1">
        <v>43394</v>
      </c>
      <c r="E104" s="2">
        <v>0.70833333333333337</v>
      </c>
      <c r="F104" t="s">
        <v>227</v>
      </c>
      <c r="G104" t="s">
        <v>227</v>
      </c>
      <c r="H104" t="str">
        <f t="shared" si="1"/>
        <v>No</v>
      </c>
      <c r="I104" s="7"/>
      <c r="J104" t="s">
        <v>231</v>
      </c>
      <c r="K104" t="s">
        <v>232</v>
      </c>
      <c r="L104" t="s">
        <v>233</v>
      </c>
      <c r="M104" s="1">
        <v>42580</v>
      </c>
      <c r="N104" t="s">
        <v>342</v>
      </c>
      <c r="Q104" s="7"/>
      <c r="R104">
        <v>4974</v>
      </c>
      <c r="S104">
        <v>1480</v>
      </c>
    </row>
    <row r="105" spans="1:19">
      <c r="A105" t="s">
        <v>345</v>
      </c>
      <c r="B105" s="1">
        <v>43395</v>
      </c>
      <c r="C105" s="2">
        <v>0.5</v>
      </c>
      <c r="D105" s="1">
        <v>43395</v>
      </c>
      <c r="E105" s="2">
        <v>0.91666666666666663</v>
      </c>
      <c r="F105" t="s">
        <v>242</v>
      </c>
      <c r="G105" t="s">
        <v>242</v>
      </c>
      <c r="H105" t="str">
        <f t="shared" si="1"/>
        <v>No</v>
      </c>
      <c r="I105" s="7"/>
      <c r="J105" t="s">
        <v>33</v>
      </c>
      <c r="K105" t="s">
        <v>218</v>
      </c>
      <c r="L105" t="s">
        <v>346</v>
      </c>
      <c r="M105" s="1">
        <v>42719</v>
      </c>
      <c r="N105" t="s">
        <v>347</v>
      </c>
      <c r="Q105" s="7"/>
      <c r="R105">
        <v>795</v>
      </c>
      <c r="S105">
        <v>545</v>
      </c>
    </row>
    <row r="106" spans="1:19">
      <c r="A106" t="s">
        <v>215</v>
      </c>
      <c r="B106" s="1">
        <v>43396</v>
      </c>
      <c r="C106" s="2">
        <v>0.33333333333333331</v>
      </c>
      <c r="D106" s="1">
        <v>43396</v>
      </c>
      <c r="E106" s="2">
        <v>0.625</v>
      </c>
      <c r="F106" t="s">
        <v>235</v>
      </c>
      <c r="G106" t="s">
        <v>235</v>
      </c>
      <c r="H106" t="str">
        <f t="shared" si="1"/>
        <v>No</v>
      </c>
      <c r="I106" s="7"/>
      <c r="J106" t="s">
        <v>217</v>
      </c>
      <c r="K106" t="s">
        <v>218</v>
      </c>
      <c r="L106" t="s">
        <v>219</v>
      </c>
      <c r="M106" s="1">
        <v>43096</v>
      </c>
      <c r="N106" t="s">
        <v>220</v>
      </c>
      <c r="Q106" s="7"/>
      <c r="R106">
        <v>197</v>
      </c>
      <c r="S106">
        <v>65</v>
      </c>
    </row>
    <row r="107" spans="1:19">
      <c r="A107" t="s">
        <v>327</v>
      </c>
      <c r="B107" s="1">
        <v>43399</v>
      </c>
      <c r="C107" s="2">
        <v>0.33333333333333331</v>
      </c>
      <c r="D107" s="1">
        <v>43399</v>
      </c>
      <c r="E107" s="2">
        <v>0.91666666666666663</v>
      </c>
      <c r="F107" t="s">
        <v>238</v>
      </c>
      <c r="G107" t="s">
        <v>238</v>
      </c>
      <c r="H107" t="str">
        <f t="shared" si="1"/>
        <v>No</v>
      </c>
      <c r="I107" s="7"/>
      <c r="J107" t="s">
        <v>217</v>
      </c>
      <c r="K107" t="s">
        <v>218</v>
      </c>
      <c r="L107" t="s">
        <v>309</v>
      </c>
      <c r="M107" s="1">
        <v>42858</v>
      </c>
      <c r="N107" t="s">
        <v>329</v>
      </c>
      <c r="Q107" s="7"/>
      <c r="R107">
        <v>200</v>
      </c>
      <c r="S107">
        <v>90</v>
      </c>
    </row>
    <row r="108" spans="1:19">
      <c r="A108" t="s">
        <v>369</v>
      </c>
      <c r="B108" s="1">
        <v>43400</v>
      </c>
      <c r="C108" s="2">
        <v>0.98611111111111116</v>
      </c>
      <c r="D108" s="1">
        <v>43401</v>
      </c>
      <c r="E108" s="2">
        <v>0.97222222222222221</v>
      </c>
      <c r="F108" t="s">
        <v>216</v>
      </c>
      <c r="G108" t="s">
        <v>227</v>
      </c>
      <c r="H108" t="str">
        <f t="shared" si="1"/>
        <v>Yes</v>
      </c>
      <c r="I108" s="7"/>
      <c r="J108" t="s">
        <v>33</v>
      </c>
      <c r="N108" t="s">
        <v>370</v>
      </c>
      <c r="Q108" s="7"/>
    </row>
    <row r="109" spans="1:19">
      <c r="A109" t="s">
        <v>215</v>
      </c>
      <c r="B109" s="1">
        <v>43403</v>
      </c>
      <c r="C109" s="2">
        <v>0.33333333333333331</v>
      </c>
      <c r="D109" s="1">
        <v>43403</v>
      </c>
      <c r="E109" t="s">
        <v>371</v>
      </c>
      <c r="F109" t="s">
        <v>235</v>
      </c>
      <c r="G109" t="s">
        <v>235</v>
      </c>
      <c r="H109" t="str">
        <f t="shared" si="1"/>
        <v>No</v>
      </c>
      <c r="I109" s="7"/>
      <c r="J109" t="s">
        <v>217</v>
      </c>
      <c r="K109" t="s">
        <v>218</v>
      </c>
      <c r="L109" t="s">
        <v>219</v>
      </c>
      <c r="M109" s="1">
        <v>43096</v>
      </c>
      <c r="N109" t="s">
        <v>220</v>
      </c>
      <c r="Q109" s="7"/>
      <c r="R109">
        <v>197</v>
      </c>
      <c r="S109">
        <v>65</v>
      </c>
    </row>
    <row r="110" spans="1:19">
      <c r="A110" t="s">
        <v>368</v>
      </c>
      <c r="B110" s="1">
        <v>43407</v>
      </c>
      <c r="C110" s="2">
        <v>0.45833333333333331</v>
      </c>
      <c r="D110" s="1">
        <v>43407</v>
      </c>
      <c r="E110" s="2">
        <v>0.83333333333333337</v>
      </c>
      <c r="F110" t="s">
        <v>216</v>
      </c>
      <c r="G110" t="s">
        <v>216</v>
      </c>
      <c r="H110" t="str">
        <f t="shared" si="1"/>
        <v>No</v>
      </c>
      <c r="I110" s="7"/>
      <c r="J110" t="s">
        <v>33</v>
      </c>
      <c r="K110" t="s">
        <v>223</v>
      </c>
      <c r="L110" t="s">
        <v>266</v>
      </c>
      <c r="M110" s="1">
        <v>43406</v>
      </c>
      <c r="N110" t="s">
        <v>267</v>
      </c>
      <c r="Q110" s="7"/>
      <c r="R110">
        <v>490</v>
      </c>
      <c r="S110">
        <v>324</v>
      </c>
    </row>
    <row r="111" spans="1:19">
      <c r="A111" t="s">
        <v>372</v>
      </c>
      <c r="B111" s="1">
        <v>43410</v>
      </c>
      <c r="C111" s="2">
        <v>0.70833333333333337</v>
      </c>
      <c r="D111" s="1">
        <v>43411</v>
      </c>
      <c r="E111" s="2">
        <v>0.375</v>
      </c>
      <c r="F111" t="s">
        <v>235</v>
      </c>
      <c r="G111" t="s">
        <v>236</v>
      </c>
      <c r="H111" t="str">
        <f t="shared" si="1"/>
        <v>Yes</v>
      </c>
      <c r="I111" s="7"/>
      <c r="J111" t="s">
        <v>33</v>
      </c>
      <c r="K111" t="s">
        <v>373</v>
      </c>
      <c r="M111" s="1">
        <v>43410</v>
      </c>
      <c r="N111" t="s">
        <v>374</v>
      </c>
      <c r="Q111" s="7"/>
    </row>
    <row r="112" spans="1:19">
      <c r="A112" t="s">
        <v>375</v>
      </c>
      <c r="B112" s="1">
        <v>43411</v>
      </c>
      <c r="C112" s="2">
        <v>0.58333333333333337</v>
      </c>
      <c r="D112" s="1">
        <v>43411</v>
      </c>
      <c r="E112" s="2">
        <v>0.91666666666666663</v>
      </c>
      <c r="F112" t="s">
        <v>236</v>
      </c>
      <c r="G112" t="s">
        <v>236</v>
      </c>
      <c r="H112" t="str">
        <f t="shared" si="1"/>
        <v>No</v>
      </c>
      <c r="I112" s="7"/>
      <c r="J112" t="s">
        <v>33</v>
      </c>
      <c r="K112" t="s">
        <v>218</v>
      </c>
      <c r="L112" t="s">
        <v>376</v>
      </c>
      <c r="M112" s="1">
        <v>42545</v>
      </c>
      <c r="N112" t="s">
        <v>377</v>
      </c>
      <c r="Q112" s="7"/>
      <c r="R112">
        <v>296</v>
      </c>
      <c r="S112">
        <v>185</v>
      </c>
    </row>
    <row r="114" spans="1:19">
      <c r="A114">
        <f>COUNTA(A2:A112)</f>
        <v>111</v>
      </c>
      <c r="R114">
        <f>SUM(R6:R113)</f>
        <v>154674</v>
      </c>
      <c r="S114">
        <f>SUM(S6:S113)</f>
        <v>58434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63BF-C878-4C6C-A0F4-F3E3C8C7E0F6}">
  <dimension ref="A1:U204"/>
  <sheetViews>
    <sheetView topLeftCell="B1" workbookViewId="0">
      <selection activeCell="B1" sqref="A1:XFD1"/>
    </sheetView>
  </sheetViews>
  <sheetFormatPr defaultRowHeight="14.5"/>
  <cols>
    <col min="1" max="1" width="28.81640625" style="8" bestFit="1" customWidth="1"/>
    <col min="2" max="2" width="9" style="8" bestFit="1" customWidth="1"/>
    <col min="3" max="3" width="8.7265625" style="8"/>
    <col min="4" max="4" width="9" style="8" bestFit="1" customWidth="1"/>
    <col min="5" max="9" width="8.7265625" style="8"/>
    <col min="10" max="10" width="6.453125" style="8" bestFit="1" customWidth="1"/>
    <col min="11" max="11" width="8.81640625" style="8" bestFit="1" customWidth="1"/>
    <col min="12" max="12" width="8.7265625" style="8"/>
    <col min="13" max="13" width="15.453125" style="8" bestFit="1" customWidth="1"/>
    <col min="14" max="14" width="15.453125" style="8" customWidth="1"/>
    <col min="15" max="16" width="8.7265625" style="8"/>
    <col min="17" max="17" width="11.7265625" style="8" bestFit="1" customWidth="1"/>
    <col min="18" max="16384" width="8.7265625" style="8"/>
  </cols>
  <sheetData>
    <row r="1" spans="1:21" s="7" customFormat="1">
      <c r="A1" s="18" t="s">
        <v>203</v>
      </c>
      <c r="B1" s="18" t="s">
        <v>312</v>
      </c>
      <c r="C1" s="18" t="s">
        <v>204</v>
      </c>
      <c r="D1" s="18" t="s">
        <v>205</v>
      </c>
      <c r="E1" s="18" t="s">
        <v>204</v>
      </c>
      <c r="F1" s="18" t="s">
        <v>206</v>
      </c>
      <c r="G1" s="18" t="s">
        <v>207</v>
      </c>
      <c r="H1" s="18" t="s">
        <v>439</v>
      </c>
      <c r="I1" s="18" t="s">
        <v>436</v>
      </c>
      <c r="J1" s="18" t="s">
        <v>209</v>
      </c>
      <c r="K1" s="18" t="s">
        <v>210</v>
      </c>
      <c r="L1" s="18" t="s">
        <v>211</v>
      </c>
      <c r="M1" s="18" t="s">
        <v>212</v>
      </c>
      <c r="N1" s="18" t="s">
        <v>213</v>
      </c>
      <c r="O1" s="18" t="s">
        <v>379</v>
      </c>
      <c r="P1" s="18" t="s">
        <v>433</v>
      </c>
      <c r="Q1" s="18" t="s">
        <v>434</v>
      </c>
      <c r="R1" s="18" t="s">
        <v>313</v>
      </c>
      <c r="S1" s="18" t="s">
        <v>214</v>
      </c>
    </row>
    <row r="2" spans="1:21">
      <c r="A2" s="6" t="s">
        <v>203</v>
      </c>
      <c r="B2" s="6" t="s">
        <v>382</v>
      </c>
      <c r="C2" s="6" t="s">
        <v>204</v>
      </c>
      <c r="D2" s="6" t="s">
        <v>205</v>
      </c>
      <c r="E2" s="6" t="s">
        <v>204</v>
      </c>
      <c r="F2" s="6" t="s">
        <v>206</v>
      </c>
      <c r="G2" s="6" t="s">
        <v>207</v>
      </c>
      <c r="H2" s="18" t="s">
        <v>439</v>
      </c>
      <c r="I2" s="6" t="s">
        <v>436</v>
      </c>
      <c r="J2" s="6" t="s">
        <v>209</v>
      </c>
      <c r="K2" s="6" t="s">
        <v>210</v>
      </c>
      <c r="L2" s="6" t="s">
        <v>211</v>
      </c>
      <c r="M2" s="6" t="s">
        <v>212</v>
      </c>
      <c r="N2" s="6" t="s">
        <v>213</v>
      </c>
      <c r="O2" s="6" t="s">
        <v>379</v>
      </c>
      <c r="P2" s="6" t="s">
        <v>437</v>
      </c>
      <c r="Q2" s="6" t="s">
        <v>438</v>
      </c>
      <c r="R2" s="6" t="s">
        <v>381</v>
      </c>
      <c r="S2" s="17"/>
      <c r="T2" s="14"/>
      <c r="U2" s="14"/>
    </row>
    <row r="3" spans="1:21">
      <c r="A3" s="14" t="s">
        <v>237</v>
      </c>
      <c r="B3" s="15">
        <v>42868</v>
      </c>
      <c r="C3" s="16">
        <v>0.25</v>
      </c>
      <c r="D3" s="15">
        <v>42869</v>
      </c>
      <c r="E3" s="16">
        <v>0.5625</v>
      </c>
      <c r="F3" s="14" t="s">
        <v>216</v>
      </c>
      <c r="G3" s="14" t="s">
        <v>227</v>
      </c>
      <c r="H3" s="8" t="str">
        <f>IF(F3=G3,"No","Yes")</f>
        <v>Yes</v>
      </c>
      <c r="I3" s="14"/>
      <c r="J3" s="14" t="s">
        <v>33</v>
      </c>
      <c r="K3" s="14" t="s">
        <v>228</v>
      </c>
      <c r="L3" s="14" t="s">
        <v>228</v>
      </c>
      <c r="M3" s="15">
        <v>42235</v>
      </c>
      <c r="N3" s="15"/>
      <c r="O3" s="14">
        <v>215</v>
      </c>
      <c r="R3" s="14">
        <v>98</v>
      </c>
      <c r="T3" s="14"/>
    </row>
    <row r="4" spans="1:21">
      <c r="A4" s="9" t="s">
        <v>215</v>
      </c>
      <c r="B4" s="10">
        <v>42872</v>
      </c>
      <c r="C4" s="11">
        <v>0.16666666666666666</v>
      </c>
      <c r="D4" s="10">
        <v>42872</v>
      </c>
      <c r="E4" s="11">
        <v>0.70833333333333337</v>
      </c>
      <c r="F4" s="9" t="s">
        <v>235</v>
      </c>
      <c r="G4" s="9" t="s">
        <v>236</v>
      </c>
      <c r="H4" s="8" t="str">
        <f t="shared" ref="H4:H63" si="0">IF(F4=G4,"No","Yes")</f>
        <v>Yes</v>
      </c>
      <c r="I4" s="12" t="s">
        <v>208</v>
      </c>
      <c r="J4" s="9" t="s">
        <v>217</v>
      </c>
      <c r="K4" s="9" t="s">
        <v>218</v>
      </c>
      <c r="L4" s="9" t="s">
        <v>219</v>
      </c>
      <c r="M4" s="10">
        <v>42580</v>
      </c>
      <c r="N4" s="10"/>
      <c r="O4" s="9">
        <v>325</v>
      </c>
      <c r="R4" s="9">
        <v>197</v>
      </c>
      <c r="S4" s="14"/>
      <c r="T4" s="14"/>
      <c r="U4" s="14"/>
    </row>
    <row r="5" spans="1:21">
      <c r="A5" s="14" t="s">
        <v>237</v>
      </c>
      <c r="B5" s="15">
        <v>42874</v>
      </c>
      <c r="C5" s="16">
        <v>0.89583333333333337</v>
      </c>
      <c r="D5" s="15">
        <v>42875</v>
      </c>
      <c r="E5" s="16">
        <v>0.5625</v>
      </c>
      <c r="F5" s="14" t="s">
        <v>238</v>
      </c>
      <c r="G5" s="14" t="s">
        <v>216</v>
      </c>
      <c r="H5" s="8" t="str">
        <f t="shared" si="0"/>
        <v>Yes</v>
      </c>
      <c r="I5" s="14"/>
      <c r="J5" s="14" t="s">
        <v>33</v>
      </c>
      <c r="K5" s="14" t="s">
        <v>228</v>
      </c>
      <c r="L5" s="14" t="s">
        <v>228</v>
      </c>
      <c r="M5" s="15">
        <v>42235</v>
      </c>
      <c r="N5" s="15"/>
      <c r="O5" s="14">
        <v>215</v>
      </c>
      <c r="R5" s="14">
        <v>98</v>
      </c>
      <c r="T5" s="14"/>
      <c r="U5" s="14"/>
    </row>
    <row r="6" spans="1:21">
      <c r="A6" s="14" t="s">
        <v>383</v>
      </c>
      <c r="B6" s="15">
        <v>42880</v>
      </c>
      <c r="C6" s="16">
        <v>0.85416666666666663</v>
      </c>
      <c r="D6" s="15">
        <v>42882</v>
      </c>
      <c r="E6" s="16">
        <v>4.1666666666666664E-2</v>
      </c>
      <c r="F6" s="14" t="s">
        <v>222</v>
      </c>
      <c r="G6" s="14" t="s">
        <v>216</v>
      </c>
      <c r="H6" s="8" t="str">
        <f t="shared" si="0"/>
        <v>Yes</v>
      </c>
      <c r="I6" s="14"/>
      <c r="J6" s="14" t="s">
        <v>33</v>
      </c>
      <c r="K6" s="14" t="s">
        <v>228</v>
      </c>
      <c r="L6" s="14" t="s">
        <v>228</v>
      </c>
      <c r="M6" s="15">
        <v>42559</v>
      </c>
      <c r="N6" s="15"/>
      <c r="O6" s="14">
        <v>267</v>
      </c>
      <c r="R6" s="14">
        <v>170</v>
      </c>
      <c r="T6" s="14"/>
      <c r="U6" s="14"/>
    </row>
    <row r="7" spans="1:21">
      <c r="A7" s="14" t="s">
        <v>237</v>
      </c>
      <c r="B7" s="15">
        <v>42881</v>
      </c>
      <c r="C7" s="16">
        <v>0.70833333333333337</v>
      </c>
      <c r="D7" s="15">
        <v>42882</v>
      </c>
      <c r="E7" s="16">
        <v>0.5625</v>
      </c>
      <c r="F7" s="14" t="s">
        <v>238</v>
      </c>
      <c r="G7" s="14" t="s">
        <v>216</v>
      </c>
      <c r="H7" s="8" t="str">
        <f t="shared" si="0"/>
        <v>Yes</v>
      </c>
      <c r="I7" s="14"/>
      <c r="J7" s="14" t="s">
        <v>33</v>
      </c>
      <c r="K7" s="14" t="s">
        <v>228</v>
      </c>
      <c r="L7" s="14" t="s">
        <v>228</v>
      </c>
      <c r="M7" s="15">
        <v>42235</v>
      </c>
      <c r="N7" s="15"/>
      <c r="O7" s="14">
        <v>215</v>
      </c>
      <c r="R7" s="14">
        <v>98</v>
      </c>
      <c r="T7" s="14"/>
      <c r="U7" s="14"/>
    </row>
    <row r="8" spans="1:21">
      <c r="A8" s="14" t="s">
        <v>237</v>
      </c>
      <c r="B8" s="15">
        <v>42888</v>
      </c>
      <c r="C8" s="16">
        <v>0.70833333333333337</v>
      </c>
      <c r="D8" s="15">
        <v>42889</v>
      </c>
      <c r="E8" s="16">
        <v>0.5625</v>
      </c>
      <c r="F8" s="14" t="s">
        <v>238</v>
      </c>
      <c r="G8" s="14" t="s">
        <v>216</v>
      </c>
      <c r="H8" s="8" t="str">
        <f t="shared" si="0"/>
        <v>Yes</v>
      </c>
      <c r="I8" s="14"/>
      <c r="J8" s="14" t="s">
        <v>33</v>
      </c>
      <c r="K8" s="14" t="s">
        <v>228</v>
      </c>
      <c r="L8" s="14" t="s">
        <v>228</v>
      </c>
      <c r="M8" s="15">
        <v>42235</v>
      </c>
      <c r="N8" s="15"/>
      <c r="O8" s="14">
        <v>215</v>
      </c>
      <c r="R8" s="14">
        <v>98</v>
      </c>
      <c r="T8" s="14"/>
      <c r="U8" s="14"/>
    </row>
    <row r="9" spans="1:21">
      <c r="A9" s="14" t="s">
        <v>383</v>
      </c>
      <c r="B9" s="15">
        <v>42890</v>
      </c>
      <c r="C9" s="16">
        <v>0.85416666666666663</v>
      </c>
      <c r="D9" s="15">
        <v>42892</v>
      </c>
      <c r="E9" s="16">
        <v>4.1666666666666664E-2</v>
      </c>
      <c r="F9" s="14" t="s">
        <v>227</v>
      </c>
      <c r="G9" s="14" t="s">
        <v>235</v>
      </c>
      <c r="H9" s="8" t="str">
        <f t="shared" si="0"/>
        <v>Yes</v>
      </c>
      <c r="I9" s="14"/>
      <c r="J9" s="14" t="s">
        <v>33</v>
      </c>
      <c r="K9" s="14" t="s">
        <v>228</v>
      </c>
      <c r="L9" s="14" t="s">
        <v>228</v>
      </c>
      <c r="M9" s="15">
        <v>42559</v>
      </c>
      <c r="N9" s="15"/>
      <c r="O9" s="14">
        <v>267</v>
      </c>
      <c r="R9" s="14">
        <v>170</v>
      </c>
      <c r="T9" s="14"/>
    </row>
    <row r="10" spans="1:21" ht="14" customHeight="1">
      <c r="A10" s="9" t="s">
        <v>230</v>
      </c>
      <c r="B10" s="10">
        <v>42890</v>
      </c>
      <c r="C10" s="11">
        <v>0.33333333333333331</v>
      </c>
      <c r="D10" s="10">
        <v>42890</v>
      </c>
      <c r="E10" s="11">
        <v>0.70833333333333337</v>
      </c>
      <c r="F10" s="9" t="s">
        <v>227</v>
      </c>
      <c r="G10" s="9" t="s">
        <v>227</v>
      </c>
      <c r="H10" s="8" t="str">
        <f t="shared" si="0"/>
        <v>No</v>
      </c>
      <c r="I10" s="9">
        <v>9</v>
      </c>
      <c r="J10" s="9" t="s">
        <v>33</v>
      </c>
      <c r="K10" s="9" t="s">
        <v>232</v>
      </c>
      <c r="L10" s="9" t="s">
        <v>233</v>
      </c>
      <c r="M10" s="10">
        <v>41829</v>
      </c>
      <c r="N10" s="10"/>
      <c r="O10" s="9">
        <v>918</v>
      </c>
      <c r="P10" s="9">
        <v>106</v>
      </c>
      <c r="Q10" s="9">
        <v>26</v>
      </c>
      <c r="R10" s="9">
        <v>2446</v>
      </c>
      <c r="S10" s="14"/>
      <c r="T10" s="14"/>
      <c r="U10" s="14"/>
    </row>
    <row r="11" spans="1:21">
      <c r="A11" s="14" t="s">
        <v>237</v>
      </c>
      <c r="B11" s="15">
        <v>42895</v>
      </c>
      <c r="C11" s="16">
        <v>0.70833333333333337</v>
      </c>
      <c r="D11" s="15">
        <v>42896</v>
      </c>
      <c r="E11" s="16">
        <v>0.5625</v>
      </c>
      <c r="F11" s="14" t="s">
        <v>238</v>
      </c>
      <c r="G11" s="14" t="s">
        <v>216</v>
      </c>
      <c r="H11" s="8" t="str">
        <f t="shared" si="0"/>
        <v>Yes</v>
      </c>
      <c r="I11" s="14"/>
      <c r="J11" s="14" t="s">
        <v>33</v>
      </c>
      <c r="K11" s="14" t="s">
        <v>228</v>
      </c>
      <c r="L11" s="14" t="s">
        <v>228</v>
      </c>
      <c r="M11" s="15">
        <v>42235</v>
      </c>
      <c r="N11" s="15"/>
      <c r="O11" s="14">
        <v>215</v>
      </c>
      <c r="R11" s="14">
        <v>98</v>
      </c>
      <c r="T11" s="14"/>
      <c r="U11" s="14"/>
    </row>
    <row r="12" spans="1:21">
      <c r="A12" s="14" t="s">
        <v>383</v>
      </c>
      <c r="B12" s="15">
        <v>42900</v>
      </c>
      <c r="C12" s="16">
        <v>0.85416666666666663</v>
      </c>
      <c r="D12" s="15">
        <v>42902</v>
      </c>
      <c r="E12" s="16">
        <v>4.1666666666666664E-2</v>
      </c>
      <c r="F12" s="14" t="s">
        <v>236</v>
      </c>
      <c r="G12" s="14" t="s">
        <v>238</v>
      </c>
      <c r="H12" s="8" t="str">
        <f t="shared" si="0"/>
        <v>Yes</v>
      </c>
      <c r="I12" s="14"/>
      <c r="J12" s="14" t="s">
        <v>33</v>
      </c>
      <c r="K12" s="14" t="s">
        <v>228</v>
      </c>
      <c r="L12" s="14" t="s">
        <v>228</v>
      </c>
      <c r="M12" s="15">
        <v>42559</v>
      </c>
      <c r="N12" s="15"/>
      <c r="O12" s="14">
        <v>267</v>
      </c>
      <c r="R12" s="14">
        <v>170</v>
      </c>
      <c r="T12" s="14"/>
    </row>
    <row r="13" spans="1:21">
      <c r="A13" s="9" t="s">
        <v>263</v>
      </c>
      <c r="B13" s="10">
        <v>42901</v>
      </c>
      <c r="C13" s="11">
        <v>0.33333333333333331</v>
      </c>
      <c r="D13" s="10">
        <v>42901</v>
      </c>
      <c r="E13" s="11">
        <v>0.83333333333333337</v>
      </c>
      <c r="F13" s="9" t="s">
        <v>222</v>
      </c>
      <c r="G13" s="9" t="s">
        <v>222</v>
      </c>
      <c r="H13" s="8" t="str">
        <f t="shared" si="0"/>
        <v>No</v>
      </c>
      <c r="I13" s="9">
        <v>9</v>
      </c>
      <c r="J13" s="9" t="s">
        <v>33</v>
      </c>
      <c r="K13" s="9" t="s">
        <v>223</v>
      </c>
      <c r="L13" s="9" t="s">
        <v>224</v>
      </c>
      <c r="M13" s="10">
        <v>42353</v>
      </c>
      <c r="N13" s="10"/>
      <c r="O13" s="9">
        <v>964</v>
      </c>
      <c r="P13" s="9">
        <v>106</v>
      </c>
      <c r="Q13" s="9">
        <v>58</v>
      </c>
      <c r="R13" s="9">
        <v>2394</v>
      </c>
      <c r="S13" s="14"/>
      <c r="T13" s="14"/>
      <c r="U13" s="14"/>
    </row>
    <row r="14" spans="1:21">
      <c r="A14" s="14" t="s">
        <v>237</v>
      </c>
      <c r="B14" s="15">
        <v>42902</v>
      </c>
      <c r="C14" s="16">
        <v>0.70833333333333337</v>
      </c>
      <c r="D14" s="15">
        <v>42903</v>
      </c>
      <c r="E14" s="16">
        <v>0.5625</v>
      </c>
      <c r="F14" s="14" t="s">
        <v>238</v>
      </c>
      <c r="G14" s="14" t="s">
        <v>216</v>
      </c>
      <c r="H14" s="8" t="str">
        <f t="shared" si="0"/>
        <v>Yes</v>
      </c>
      <c r="I14" s="14"/>
      <c r="J14" s="14" t="s">
        <v>33</v>
      </c>
      <c r="K14" s="14" t="s">
        <v>228</v>
      </c>
      <c r="L14" s="14" t="s">
        <v>228</v>
      </c>
      <c r="M14" s="15">
        <v>42235</v>
      </c>
      <c r="N14" s="15"/>
      <c r="O14" s="14">
        <v>215</v>
      </c>
      <c r="R14" s="14">
        <v>98</v>
      </c>
    </row>
    <row r="15" spans="1:21">
      <c r="A15" s="14" t="s">
        <v>237</v>
      </c>
      <c r="B15" s="15">
        <v>42909</v>
      </c>
      <c r="C15" s="16">
        <v>0.70833333333333337</v>
      </c>
      <c r="D15" s="15">
        <v>42910</v>
      </c>
      <c r="E15" s="16">
        <v>0.5625</v>
      </c>
      <c r="F15" s="14" t="s">
        <v>238</v>
      </c>
      <c r="G15" s="14" t="s">
        <v>216</v>
      </c>
      <c r="H15" s="8" t="str">
        <f t="shared" si="0"/>
        <v>Yes</v>
      </c>
      <c r="I15" s="14"/>
      <c r="J15" s="14" t="s">
        <v>33</v>
      </c>
      <c r="K15" s="14" t="s">
        <v>228</v>
      </c>
      <c r="L15" s="14" t="s">
        <v>228</v>
      </c>
      <c r="M15" s="15">
        <v>42235</v>
      </c>
      <c r="N15" s="15"/>
      <c r="O15" s="8">
        <v>215</v>
      </c>
      <c r="R15" s="14">
        <v>98</v>
      </c>
    </row>
    <row r="16" spans="1:21">
      <c r="A16" s="14" t="s">
        <v>383</v>
      </c>
      <c r="B16" s="15">
        <v>42910</v>
      </c>
      <c r="C16" s="16">
        <v>0.85416666666666663</v>
      </c>
      <c r="D16" s="15">
        <v>42912</v>
      </c>
      <c r="E16" s="16">
        <v>4.1666666666666664E-2</v>
      </c>
      <c r="F16" s="14" t="s">
        <v>216</v>
      </c>
      <c r="G16" s="14" t="s">
        <v>242</v>
      </c>
      <c r="H16" s="8" t="str">
        <f t="shared" si="0"/>
        <v>Yes</v>
      </c>
      <c r="I16" s="14"/>
      <c r="J16" s="14" t="s">
        <v>33</v>
      </c>
      <c r="K16" s="14" t="s">
        <v>228</v>
      </c>
      <c r="L16" s="14" t="s">
        <v>228</v>
      </c>
      <c r="M16" s="15">
        <v>42559</v>
      </c>
      <c r="N16" s="15"/>
      <c r="O16" s="8">
        <v>325</v>
      </c>
      <c r="R16" s="14">
        <v>123</v>
      </c>
    </row>
    <row r="17" spans="1:18">
      <c r="A17" s="9" t="s">
        <v>263</v>
      </c>
      <c r="B17" s="10">
        <v>42914</v>
      </c>
      <c r="C17" s="11">
        <v>0.375</v>
      </c>
      <c r="D17" s="10">
        <v>42914</v>
      </c>
      <c r="E17" s="11">
        <v>0.83333333333333337</v>
      </c>
      <c r="F17" s="9" t="s">
        <v>236</v>
      </c>
      <c r="G17" s="9" t="s">
        <v>236</v>
      </c>
      <c r="H17" s="8" t="str">
        <f t="shared" si="0"/>
        <v>No</v>
      </c>
      <c r="I17" s="9">
        <v>9</v>
      </c>
      <c r="J17" s="9" t="s">
        <v>33</v>
      </c>
      <c r="K17" s="9" t="s">
        <v>223</v>
      </c>
      <c r="L17" s="9" t="s">
        <v>224</v>
      </c>
      <c r="M17" s="10">
        <v>42744</v>
      </c>
      <c r="N17" s="10"/>
      <c r="O17" s="9">
        <v>964</v>
      </c>
      <c r="P17" s="9">
        <v>106</v>
      </c>
      <c r="Q17" s="9">
        <v>58</v>
      </c>
      <c r="R17" s="9">
        <v>2394</v>
      </c>
    </row>
    <row r="18" spans="1:18">
      <c r="A18" s="14" t="s">
        <v>237</v>
      </c>
      <c r="B18" s="15">
        <v>42916</v>
      </c>
      <c r="C18" s="16">
        <v>0.70833333333333337</v>
      </c>
      <c r="D18" s="15">
        <v>42917</v>
      </c>
      <c r="E18" s="16">
        <v>0.72916666666666663</v>
      </c>
      <c r="F18" s="14" t="s">
        <v>238</v>
      </c>
      <c r="G18" s="14" t="s">
        <v>216</v>
      </c>
      <c r="H18" s="8" t="str">
        <f t="shared" si="0"/>
        <v>Yes</v>
      </c>
      <c r="I18" s="14"/>
      <c r="J18" s="14" t="s">
        <v>33</v>
      </c>
      <c r="K18" s="14" t="s">
        <v>228</v>
      </c>
      <c r="L18" s="14" t="s">
        <v>228</v>
      </c>
      <c r="M18" s="15">
        <v>42559</v>
      </c>
      <c r="N18" s="15"/>
      <c r="O18" s="8">
        <v>215</v>
      </c>
      <c r="R18" s="14">
        <v>98</v>
      </c>
    </row>
    <row r="19" spans="1:18">
      <c r="A19" s="9" t="s">
        <v>230</v>
      </c>
      <c r="B19" s="10">
        <v>42918</v>
      </c>
      <c r="C19" s="11">
        <v>0.33333333333333331</v>
      </c>
      <c r="D19" s="10">
        <v>42918</v>
      </c>
      <c r="E19" s="11">
        <v>0.70833333333333337</v>
      </c>
      <c r="F19" s="9" t="s">
        <v>227</v>
      </c>
      <c r="G19" s="9" t="s">
        <v>227</v>
      </c>
      <c r="H19" s="8" t="str">
        <f t="shared" si="0"/>
        <v>No</v>
      </c>
      <c r="I19" s="9">
        <v>9</v>
      </c>
      <c r="J19" s="9" t="s">
        <v>33</v>
      </c>
      <c r="K19" s="9" t="s">
        <v>232</v>
      </c>
      <c r="L19" s="9" t="s">
        <v>233</v>
      </c>
      <c r="M19" s="10">
        <v>41829</v>
      </c>
      <c r="N19" s="10"/>
      <c r="O19" s="9">
        <v>918</v>
      </c>
      <c r="P19" s="9">
        <v>106</v>
      </c>
      <c r="Q19" s="9">
        <v>26</v>
      </c>
      <c r="R19" s="9">
        <v>2446</v>
      </c>
    </row>
    <row r="20" spans="1:18">
      <c r="A20" s="9" t="s">
        <v>240</v>
      </c>
      <c r="B20" s="10">
        <v>42919</v>
      </c>
      <c r="C20" s="11">
        <v>0.375</v>
      </c>
      <c r="D20" s="10">
        <v>42919</v>
      </c>
      <c r="E20" s="11">
        <v>0.75</v>
      </c>
      <c r="F20" s="9" t="s">
        <v>242</v>
      </c>
      <c r="G20" s="9" t="s">
        <v>242</v>
      </c>
      <c r="H20" s="8" t="str">
        <f t="shared" si="0"/>
        <v>No</v>
      </c>
      <c r="I20" s="9">
        <v>9</v>
      </c>
      <c r="J20" s="9" t="s">
        <v>33</v>
      </c>
      <c r="K20" s="9" t="s">
        <v>232</v>
      </c>
      <c r="L20" s="9" t="s">
        <v>233</v>
      </c>
      <c r="M20" s="10">
        <v>41829</v>
      </c>
      <c r="N20" s="10"/>
      <c r="O20" s="9">
        <v>965</v>
      </c>
      <c r="P20" s="9">
        <v>106</v>
      </c>
      <c r="Q20" s="9">
        <v>27</v>
      </c>
      <c r="R20" s="9">
        <v>2158</v>
      </c>
    </row>
    <row r="21" spans="1:18">
      <c r="A21" s="14" t="s">
        <v>237</v>
      </c>
      <c r="B21" s="15">
        <v>42923</v>
      </c>
      <c r="C21" s="16">
        <v>0.70833333333333337</v>
      </c>
      <c r="D21" s="15">
        <v>42924</v>
      </c>
      <c r="E21" s="16">
        <v>0.5625</v>
      </c>
      <c r="F21" s="14" t="s">
        <v>238</v>
      </c>
      <c r="G21" s="14" t="s">
        <v>216</v>
      </c>
      <c r="H21" s="8" t="str">
        <f t="shared" si="0"/>
        <v>Yes</v>
      </c>
      <c r="I21" s="14"/>
      <c r="J21" s="14" t="s">
        <v>33</v>
      </c>
      <c r="K21" s="14" t="s">
        <v>228</v>
      </c>
      <c r="L21" s="14" t="s">
        <v>228</v>
      </c>
      <c r="M21" s="15">
        <v>42559</v>
      </c>
      <c r="N21" s="15"/>
      <c r="O21" s="14">
        <v>215</v>
      </c>
      <c r="R21" s="14">
        <v>98</v>
      </c>
    </row>
    <row r="22" spans="1:18">
      <c r="A22" s="14" t="s">
        <v>383</v>
      </c>
      <c r="B22" s="15">
        <v>42928</v>
      </c>
      <c r="C22" s="16">
        <v>0.66666666666666663</v>
      </c>
      <c r="D22" s="15">
        <v>42929</v>
      </c>
      <c r="E22" s="16">
        <v>0.72916666666666663</v>
      </c>
      <c r="F22" s="14" t="s">
        <v>236</v>
      </c>
      <c r="G22" s="14" t="s">
        <v>222</v>
      </c>
      <c r="H22" s="8" t="str">
        <f t="shared" si="0"/>
        <v>Yes</v>
      </c>
      <c r="I22" s="14"/>
      <c r="J22" s="14" t="s">
        <v>33</v>
      </c>
      <c r="K22" s="14" t="s">
        <v>228</v>
      </c>
      <c r="L22" s="14" t="s">
        <v>228</v>
      </c>
      <c r="M22" s="15">
        <v>42559</v>
      </c>
      <c r="N22" s="15"/>
      <c r="O22" s="14">
        <v>267</v>
      </c>
      <c r="R22" s="14">
        <v>170</v>
      </c>
    </row>
    <row r="23" spans="1:18">
      <c r="A23" s="14" t="s">
        <v>237</v>
      </c>
      <c r="B23" s="15">
        <v>42930</v>
      </c>
      <c r="C23" s="16">
        <v>0.70833333333333337</v>
      </c>
      <c r="D23" s="15">
        <v>42931</v>
      </c>
      <c r="E23" s="16">
        <v>0.5625</v>
      </c>
      <c r="F23" s="14" t="s">
        <v>238</v>
      </c>
      <c r="G23" s="14" t="s">
        <v>216</v>
      </c>
      <c r="H23" s="8" t="str">
        <f t="shared" si="0"/>
        <v>Yes</v>
      </c>
      <c r="I23" s="14"/>
      <c r="J23" s="14" t="s">
        <v>33</v>
      </c>
      <c r="K23" s="14" t="s">
        <v>228</v>
      </c>
      <c r="L23" s="14" t="s">
        <v>228</v>
      </c>
      <c r="M23" s="15">
        <v>42559</v>
      </c>
      <c r="N23" s="15"/>
      <c r="O23" s="14">
        <v>215</v>
      </c>
      <c r="R23" s="14">
        <v>98</v>
      </c>
    </row>
    <row r="24" spans="1:18">
      <c r="A24" s="14" t="s">
        <v>383</v>
      </c>
      <c r="B24" s="15">
        <v>42930</v>
      </c>
      <c r="C24" s="16">
        <v>0.95833333333333337</v>
      </c>
      <c r="D24" s="15">
        <v>42931</v>
      </c>
      <c r="E24" s="16">
        <v>0.89583333333333337</v>
      </c>
      <c r="F24" s="14" t="s">
        <v>238</v>
      </c>
      <c r="G24" s="14" t="s">
        <v>216</v>
      </c>
      <c r="H24" s="8" t="str">
        <f t="shared" si="0"/>
        <v>Yes</v>
      </c>
      <c r="I24" s="14"/>
      <c r="J24" s="14" t="s">
        <v>33</v>
      </c>
      <c r="K24" s="14" t="s">
        <v>228</v>
      </c>
      <c r="L24" s="14" t="s">
        <v>228</v>
      </c>
      <c r="M24" s="15">
        <v>42923</v>
      </c>
      <c r="N24" s="15"/>
      <c r="O24" s="14">
        <v>267</v>
      </c>
      <c r="R24" s="14">
        <v>170</v>
      </c>
    </row>
    <row r="25" spans="1:18">
      <c r="A25" s="14" t="s">
        <v>237</v>
      </c>
      <c r="B25" s="15">
        <v>42937</v>
      </c>
      <c r="C25" s="16">
        <v>0.70833333333333337</v>
      </c>
      <c r="D25" s="15">
        <v>42938</v>
      </c>
      <c r="E25" s="16">
        <v>0.5625</v>
      </c>
      <c r="F25" s="14" t="s">
        <v>238</v>
      </c>
      <c r="G25" s="14" t="s">
        <v>216</v>
      </c>
      <c r="H25" s="8" t="str">
        <f t="shared" si="0"/>
        <v>Yes</v>
      </c>
      <c r="I25" s="14"/>
      <c r="J25" s="14" t="s">
        <v>33</v>
      </c>
      <c r="K25" s="14" t="s">
        <v>228</v>
      </c>
      <c r="L25" s="14" t="s">
        <v>228</v>
      </c>
      <c r="M25" s="15">
        <v>42235</v>
      </c>
      <c r="N25" s="15"/>
      <c r="O25" s="14">
        <v>215</v>
      </c>
      <c r="R25" s="14">
        <v>98</v>
      </c>
    </row>
    <row r="26" spans="1:18">
      <c r="A26" s="14" t="s">
        <v>383</v>
      </c>
      <c r="B26" s="15">
        <v>42940</v>
      </c>
      <c r="C26" s="16">
        <v>0.95833333333333337</v>
      </c>
      <c r="D26" s="15">
        <v>42941</v>
      </c>
      <c r="E26" s="16">
        <v>0.89583333333333337</v>
      </c>
      <c r="F26" s="14" t="s">
        <v>242</v>
      </c>
      <c r="G26" s="14" t="s">
        <v>235</v>
      </c>
      <c r="H26" s="8" t="str">
        <f t="shared" si="0"/>
        <v>Yes</v>
      </c>
      <c r="I26" s="14"/>
      <c r="J26" s="14" t="s">
        <v>33</v>
      </c>
      <c r="K26" s="14" t="s">
        <v>228</v>
      </c>
      <c r="L26" s="14" t="s">
        <v>228</v>
      </c>
      <c r="M26" s="15">
        <v>42923</v>
      </c>
      <c r="N26" s="15"/>
      <c r="O26" s="14">
        <v>267</v>
      </c>
      <c r="R26" s="14">
        <v>170</v>
      </c>
    </row>
    <row r="27" spans="1:18">
      <c r="A27" s="14" t="s">
        <v>237</v>
      </c>
      <c r="B27" s="15">
        <v>42944</v>
      </c>
      <c r="C27" s="16">
        <v>0.70833333333333337</v>
      </c>
      <c r="D27" s="15">
        <v>42945</v>
      </c>
      <c r="E27" s="16">
        <v>0.5625</v>
      </c>
      <c r="F27" s="14" t="s">
        <v>238</v>
      </c>
      <c r="G27" s="14" t="s">
        <v>216</v>
      </c>
      <c r="H27" s="8" t="str">
        <f t="shared" si="0"/>
        <v>Yes</v>
      </c>
      <c r="I27" s="14"/>
      <c r="J27" s="14" t="s">
        <v>33</v>
      </c>
      <c r="K27" s="14" t="s">
        <v>228</v>
      </c>
      <c r="L27" s="14" t="s">
        <v>228</v>
      </c>
      <c r="M27" s="15">
        <v>42235</v>
      </c>
      <c r="N27" s="15"/>
      <c r="O27" s="14">
        <v>215</v>
      </c>
      <c r="R27" s="14">
        <v>98</v>
      </c>
    </row>
    <row r="28" spans="1:18">
      <c r="A28" s="14" t="s">
        <v>383</v>
      </c>
      <c r="B28" s="15">
        <v>42945</v>
      </c>
      <c r="C28" s="16">
        <v>0.75</v>
      </c>
      <c r="D28" s="15">
        <v>42946</v>
      </c>
      <c r="E28" s="16">
        <v>0.52083333333333337</v>
      </c>
      <c r="F28" s="14" t="s">
        <v>384</v>
      </c>
      <c r="G28" s="14" t="s">
        <v>385</v>
      </c>
      <c r="H28" s="8" t="str">
        <f t="shared" si="0"/>
        <v>Yes</v>
      </c>
      <c r="I28" s="14"/>
      <c r="J28" s="14" t="s">
        <v>33</v>
      </c>
      <c r="K28" s="14" t="s">
        <v>228</v>
      </c>
      <c r="L28" s="14" t="s">
        <v>228</v>
      </c>
      <c r="M28" s="15">
        <v>42942</v>
      </c>
      <c r="N28" s="15"/>
      <c r="O28" s="14">
        <v>267</v>
      </c>
      <c r="R28" s="14">
        <v>170</v>
      </c>
    </row>
    <row r="29" spans="1:18">
      <c r="A29" s="9" t="s">
        <v>230</v>
      </c>
      <c r="B29" s="10">
        <v>42946</v>
      </c>
      <c r="C29" s="11">
        <v>0.33333333333333331</v>
      </c>
      <c r="D29" s="10">
        <v>42946</v>
      </c>
      <c r="E29" s="11">
        <v>0.70833333333333337</v>
      </c>
      <c r="F29" s="9" t="s">
        <v>227</v>
      </c>
      <c r="G29" s="9" t="s">
        <v>227</v>
      </c>
      <c r="H29" s="8" t="str">
        <f t="shared" si="0"/>
        <v>No</v>
      </c>
      <c r="I29" s="9">
        <v>9</v>
      </c>
      <c r="J29" s="9" t="s">
        <v>231</v>
      </c>
      <c r="K29" s="9" t="s">
        <v>232</v>
      </c>
      <c r="L29" s="9" t="s">
        <v>233</v>
      </c>
      <c r="M29" s="10">
        <v>41829</v>
      </c>
      <c r="N29" s="10"/>
      <c r="O29" s="9">
        <v>918</v>
      </c>
      <c r="P29" s="9">
        <v>106</v>
      </c>
      <c r="Q29" s="9">
        <v>26</v>
      </c>
      <c r="R29" s="9">
        <v>2446</v>
      </c>
    </row>
    <row r="30" spans="1:18">
      <c r="A30" s="14" t="s">
        <v>383</v>
      </c>
      <c r="B30" s="15">
        <v>42950</v>
      </c>
      <c r="C30" s="16">
        <v>0.95833333333333337</v>
      </c>
      <c r="D30" s="15">
        <v>42951</v>
      </c>
      <c r="E30" s="16">
        <v>0.89583333333333337</v>
      </c>
      <c r="F30" s="14" t="s">
        <v>222</v>
      </c>
      <c r="G30" s="14" t="s">
        <v>238</v>
      </c>
      <c r="H30" s="8" t="str">
        <f t="shared" si="0"/>
        <v>Yes</v>
      </c>
      <c r="I30" s="14"/>
      <c r="J30" s="14" t="s">
        <v>33</v>
      </c>
      <c r="K30" s="14" t="s">
        <v>228</v>
      </c>
      <c r="L30" s="14" t="s">
        <v>228</v>
      </c>
      <c r="M30" s="15">
        <v>42923</v>
      </c>
      <c r="N30" s="15"/>
      <c r="O30" s="14">
        <v>267</v>
      </c>
      <c r="R30" s="14">
        <v>170</v>
      </c>
    </row>
    <row r="31" spans="1:18">
      <c r="A31" s="14" t="s">
        <v>237</v>
      </c>
      <c r="B31" s="15">
        <v>42951</v>
      </c>
      <c r="C31" s="16">
        <v>0.70833333333333337</v>
      </c>
      <c r="D31" s="15">
        <v>42952</v>
      </c>
      <c r="E31" s="16">
        <v>0.5625</v>
      </c>
      <c r="F31" s="14" t="s">
        <v>238</v>
      </c>
      <c r="G31" s="14" t="s">
        <v>216</v>
      </c>
      <c r="H31" s="8" t="str">
        <f t="shared" si="0"/>
        <v>Yes</v>
      </c>
      <c r="I31" s="14"/>
      <c r="J31" s="14" t="s">
        <v>33</v>
      </c>
      <c r="K31" s="14" t="s">
        <v>228</v>
      </c>
      <c r="L31" s="14" t="s">
        <v>228</v>
      </c>
      <c r="M31" s="15">
        <v>42235</v>
      </c>
      <c r="N31" s="15"/>
      <c r="O31" s="14">
        <v>215</v>
      </c>
      <c r="R31" s="14">
        <v>98</v>
      </c>
    </row>
    <row r="32" spans="1:18">
      <c r="A32" s="14" t="s">
        <v>237</v>
      </c>
      <c r="B32" s="15">
        <v>42958</v>
      </c>
      <c r="C32" s="16">
        <v>0.70833333333333337</v>
      </c>
      <c r="D32" s="15">
        <v>42959</v>
      </c>
      <c r="E32" s="16">
        <v>0.5625</v>
      </c>
      <c r="F32" s="14" t="s">
        <v>238</v>
      </c>
      <c r="G32" s="14" t="s">
        <v>216</v>
      </c>
      <c r="H32" s="8" t="str">
        <f t="shared" si="0"/>
        <v>Yes</v>
      </c>
      <c r="I32" s="14"/>
      <c r="J32" s="14" t="s">
        <v>33</v>
      </c>
      <c r="K32" s="14" t="s">
        <v>228</v>
      </c>
      <c r="L32" s="14" t="s">
        <v>228</v>
      </c>
      <c r="M32" s="15">
        <v>42235</v>
      </c>
      <c r="N32" s="15"/>
      <c r="O32" s="14">
        <v>215</v>
      </c>
      <c r="R32" s="14">
        <v>98</v>
      </c>
    </row>
    <row r="33" spans="1:18">
      <c r="A33" s="14" t="s">
        <v>383</v>
      </c>
      <c r="B33" s="15">
        <v>42960</v>
      </c>
      <c r="C33" s="16">
        <v>0.95833333333333337</v>
      </c>
      <c r="D33" s="15">
        <v>42961</v>
      </c>
      <c r="E33" s="16">
        <v>0.89583333333333337</v>
      </c>
      <c r="F33" s="14" t="s">
        <v>227</v>
      </c>
      <c r="G33" s="14" t="s">
        <v>242</v>
      </c>
      <c r="H33" s="8" t="str">
        <f t="shared" si="0"/>
        <v>Yes</v>
      </c>
      <c r="I33" s="14"/>
      <c r="J33" s="14" t="s">
        <v>33</v>
      </c>
      <c r="K33" s="14" t="s">
        <v>228</v>
      </c>
      <c r="L33" s="14" t="s">
        <v>228</v>
      </c>
      <c r="M33" s="15">
        <v>42923</v>
      </c>
      <c r="N33" s="15"/>
      <c r="O33" s="14">
        <v>267</v>
      </c>
      <c r="R33" s="14">
        <v>170</v>
      </c>
    </row>
    <row r="34" spans="1:18">
      <c r="A34" s="14" t="s">
        <v>237</v>
      </c>
      <c r="B34" s="15">
        <v>42965</v>
      </c>
      <c r="C34" s="16">
        <v>0.70833333333333337</v>
      </c>
      <c r="D34" s="15">
        <v>42966</v>
      </c>
      <c r="E34" s="16">
        <v>0.5625</v>
      </c>
      <c r="F34" s="14" t="s">
        <v>238</v>
      </c>
      <c r="G34" s="14" t="s">
        <v>216</v>
      </c>
      <c r="H34" s="8" t="str">
        <f t="shared" si="0"/>
        <v>Yes</v>
      </c>
      <c r="I34" s="14"/>
      <c r="J34" s="14" t="s">
        <v>33</v>
      </c>
      <c r="K34" s="14" t="s">
        <v>228</v>
      </c>
      <c r="L34" s="14" t="s">
        <v>228</v>
      </c>
      <c r="M34" s="15">
        <v>42235</v>
      </c>
      <c r="N34" s="15"/>
      <c r="O34" s="14">
        <v>215</v>
      </c>
      <c r="R34" s="14">
        <v>98</v>
      </c>
    </row>
    <row r="35" spans="1:18">
      <c r="A35" s="14" t="s">
        <v>383</v>
      </c>
      <c r="B35" s="15">
        <v>42970</v>
      </c>
      <c r="C35" s="16">
        <v>0.95833333333333337</v>
      </c>
      <c r="D35" s="15">
        <v>42971</v>
      </c>
      <c r="E35" s="16">
        <v>0.89583333333333337</v>
      </c>
      <c r="F35" s="14" t="s">
        <v>236</v>
      </c>
      <c r="G35" s="14" t="s">
        <v>222</v>
      </c>
      <c r="H35" s="8" t="str">
        <f t="shared" si="0"/>
        <v>Yes</v>
      </c>
      <c r="I35" s="14"/>
      <c r="J35" s="14" t="s">
        <v>33</v>
      </c>
      <c r="K35" s="14" t="s">
        <v>228</v>
      </c>
      <c r="L35" s="14" t="s">
        <v>228</v>
      </c>
      <c r="M35" s="15">
        <v>42923</v>
      </c>
      <c r="N35" s="15"/>
      <c r="O35" s="14">
        <v>267</v>
      </c>
      <c r="R35" s="14">
        <v>170</v>
      </c>
    </row>
    <row r="36" spans="1:18">
      <c r="A36" s="14" t="s">
        <v>237</v>
      </c>
      <c r="B36" s="15">
        <v>42972</v>
      </c>
      <c r="C36" s="16">
        <v>0.70833333333333337</v>
      </c>
      <c r="D36" s="15">
        <v>42973</v>
      </c>
      <c r="E36" s="16">
        <v>0.5625</v>
      </c>
      <c r="F36" s="14" t="s">
        <v>238</v>
      </c>
      <c r="G36" s="14" t="s">
        <v>216</v>
      </c>
      <c r="H36" s="8" t="str">
        <f t="shared" si="0"/>
        <v>Yes</v>
      </c>
      <c r="I36" s="14"/>
      <c r="J36" s="14" t="s">
        <v>33</v>
      </c>
      <c r="K36" s="14" t="s">
        <v>228</v>
      </c>
      <c r="L36" s="14" t="s">
        <v>228</v>
      </c>
      <c r="M36" s="15">
        <v>42235</v>
      </c>
      <c r="N36" s="15"/>
      <c r="O36" s="14">
        <v>215</v>
      </c>
      <c r="R36" s="14">
        <v>98</v>
      </c>
    </row>
    <row r="37" spans="1:18">
      <c r="A37" s="14" t="s">
        <v>237</v>
      </c>
      <c r="B37" s="15">
        <v>42979</v>
      </c>
      <c r="C37" s="16">
        <v>0.70833333333333337</v>
      </c>
      <c r="D37" s="15">
        <v>42980</v>
      </c>
      <c r="E37" s="16">
        <v>0.5625</v>
      </c>
      <c r="F37" s="14" t="s">
        <v>238</v>
      </c>
      <c r="G37" s="14" t="s">
        <v>216</v>
      </c>
      <c r="H37" s="8" t="str">
        <f t="shared" si="0"/>
        <v>Yes</v>
      </c>
      <c r="I37" s="14"/>
      <c r="J37" s="14" t="s">
        <v>33</v>
      </c>
      <c r="K37" s="14" t="s">
        <v>228</v>
      </c>
      <c r="L37" s="14" t="s">
        <v>228</v>
      </c>
      <c r="M37" s="15">
        <v>42235</v>
      </c>
      <c r="N37" s="15"/>
      <c r="O37" s="14">
        <v>215</v>
      </c>
      <c r="R37" s="14">
        <v>98</v>
      </c>
    </row>
    <row r="38" spans="1:18">
      <c r="A38" s="14" t="s">
        <v>383</v>
      </c>
      <c r="B38" s="15">
        <v>42980</v>
      </c>
      <c r="C38" s="16">
        <v>0.95833333333333337</v>
      </c>
      <c r="D38" s="15">
        <v>42981</v>
      </c>
      <c r="E38" s="16">
        <v>0.89583333333333337</v>
      </c>
      <c r="F38" s="14" t="s">
        <v>216</v>
      </c>
      <c r="G38" s="14" t="s">
        <v>227</v>
      </c>
      <c r="H38" s="8" t="str">
        <f t="shared" si="0"/>
        <v>Yes</v>
      </c>
      <c r="I38" s="14"/>
      <c r="J38" s="14" t="s">
        <v>33</v>
      </c>
      <c r="K38" s="14" t="s">
        <v>228</v>
      </c>
      <c r="L38" s="14" t="s">
        <v>228</v>
      </c>
      <c r="M38" s="15">
        <v>42923</v>
      </c>
      <c r="N38" s="15"/>
      <c r="O38" s="14">
        <v>267</v>
      </c>
      <c r="R38" s="14">
        <v>170</v>
      </c>
    </row>
    <row r="39" spans="1:18">
      <c r="A39" s="9" t="s">
        <v>386</v>
      </c>
      <c r="B39" s="10">
        <v>42981</v>
      </c>
      <c r="C39" s="11">
        <v>0.29166666666666669</v>
      </c>
      <c r="D39" s="10">
        <v>42981</v>
      </c>
      <c r="E39" s="11">
        <v>0.70833333333333337</v>
      </c>
      <c r="F39" s="9" t="s">
        <v>227</v>
      </c>
      <c r="G39" s="9" t="s">
        <v>227</v>
      </c>
      <c r="H39" s="8" t="str">
        <f t="shared" si="0"/>
        <v>No</v>
      </c>
      <c r="I39" s="9">
        <v>9</v>
      </c>
      <c r="J39" s="9" t="s">
        <v>231</v>
      </c>
      <c r="K39" s="9" t="s">
        <v>232</v>
      </c>
      <c r="L39" s="9" t="s">
        <v>233</v>
      </c>
      <c r="M39" s="10">
        <v>42194</v>
      </c>
      <c r="N39" s="10"/>
      <c r="O39" s="9">
        <v>1142</v>
      </c>
      <c r="P39" s="9">
        <v>42</v>
      </c>
      <c r="Q39" s="9">
        <v>8.8000000000000007</v>
      </c>
      <c r="R39" s="9">
        <v>4905</v>
      </c>
    </row>
    <row r="40" spans="1:18">
      <c r="A40" s="9" t="s">
        <v>387</v>
      </c>
      <c r="B40" s="10">
        <v>42982</v>
      </c>
      <c r="C40" s="11">
        <v>0.33333333333333331</v>
      </c>
      <c r="D40" s="10">
        <v>42982</v>
      </c>
      <c r="E40" s="11">
        <v>0.75</v>
      </c>
      <c r="F40" s="9" t="s">
        <v>242</v>
      </c>
      <c r="G40" s="9" t="s">
        <v>242</v>
      </c>
      <c r="H40" s="8" t="str">
        <f t="shared" si="0"/>
        <v>No</v>
      </c>
      <c r="I40" s="9">
        <v>9</v>
      </c>
      <c r="J40" s="9" t="s">
        <v>231</v>
      </c>
      <c r="K40" s="9" t="s">
        <v>223</v>
      </c>
      <c r="L40" s="9" t="s">
        <v>284</v>
      </c>
      <c r="M40" s="10">
        <v>42291</v>
      </c>
      <c r="N40" s="10"/>
      <c r="O40" s="9">
        <v>894</v>
      </c>
      <c r="P40" s="9">
        <v>117</v>
      </c>
      <c r="Q40" s="9">
        <v>27</v>
      </c>
      <c r="R40" s="13">
        <v>3006</v>
      </c>
    </row>
    <row r="41" spans="1:18">
      <c r="A41" s="9" t="s">
        <v>263</v>
      </c>
      <c r="B41" s="10">
        <v>42985</v>
      </c>
      <c r="C41" s="11">
        <v>0.33333333333333331</v>
      </c>
      <c r="D41" s="10">
        <v>42985</v>
      </c>
      <c r="E41" s="11">
        <v>0.83333333333333337</v>
      </c>
      <c r="F41" s="9" t="s">
        <v>222</v>
      </c>
      <c r="G41" s="9" t="s">
        <v>222</v>
      </c>
      <c r="H41" s="8" t="str">
        <f t="shared" si="0"/>
        <v>No</v>
      </c>
      <c r="I41" s="9">
        <v>9</v>
      </c>
      <c r="J41" s="9" t="s">
        <v>231</v>
      </c>
      <c r="K41" s="9" t="s">
        <v>223</v>
      </c>
      <c r="L41" s="9" t="s">
        <v>224</v>
      </c>
      <c r="M41" s="10">
        <v>42353</v>
      </c>
      <c r="N41" s="10"/>
      <c r="O41" s="9">
        <v>964</v>
      </c>
      <c r="P41" s="9">
        <v>106</v>
      </c>
      <c r="Q41" s="9">
        <v>58</v>
      </c>
      <c r="R41" s="9">
        <v>2394</v>
      </c>
    </row>
    <row r="42" spans="1:18">
      <c r="A42" s="14" t="s">
        <v>237</v>
      </c>
      <c r="B42" s="15">
        <v>42986</v>
      </c>
      <c r="C42" s="16">
        <v>0.70833333333333337</v>
      </c>
      <c r="D42" s="15">
        <v>42987</v>
      </c>
      <c r="E42" s="16">
        <v>0.5625</v>
      </c>
      <c r="F42" s="14" t="s">
        <v>238</v>
      </c>
      <c r="G42" s="14" t="s">
        <v>216</v>
      </c>
      <c r="H42" s="8" t="str">
        <f t="shared" si="0"/>
        <v>Yes</v>
      </c>
      <c r="I42" s="14"/>
      <c r="J42" s="14" t="s">
        <v>33</v>
      </c>
      <c r="K42" s="14" t="s">
        <v>228</v>
      </c>
      <c r="L42" s="14" t="s">
        <v>228</v>
      </c>
      <c r="M42" s="15">
        <v>42235</v>
      </c>
      <c r="N42" s="15"/>
      <c r="O42" s="14">
        <v>215</v>
      </c>
      <c r="R42" s="14">
        <v>98</v>
      </c>
    </row>
    <row r="43" spans="1:18">
      <c r="A43" s="9" t="s">
        <v>230</v>
      </c>
      <c r="B43" s="10">
        <v>42988</v>
      </c>
      <c r="C43" s="11">
        <v>0.33333333333333331</v>
      </c>
      <c r="D43" s="10">
        <v>42988</v>
      </c>
      <c r="E43" s="11">
        <v>0.70833333333333337</v>
      </c>
      <c r="F43" s="9" t="s">
        <v>227</v>
      </c>
      <c r="G43" s="9" t="s">
        <v>227</v>
      </c>
      <c r="H43" s="8" t="str">
        <f t="shared" si="0"/>
        <v>No</v>
      </c>
      <c r="I43" s="9">
        <v>9</v>
      </c>
      <c r="J43" s="9" t="s">
        <v>231</v>
      </c>
      <c r="K43" s="9" t="s">
        <v>232</v>
      </c>
      <c r="L43" s="9" t="s">
        <v>233</v>
      </c>
      <c r="M43" s="10">
        <v>41829</v>
      </c>
      <c r="N43" s="10"/>
      <c r="O43" s="9">
        <v>918</v>
      </c>
      <c r="P43" s="9">
        <v>106</v>
      </c>
      <c r="Q43" s="9">
        <v>26</v>
      </c>
      <c r="R43" s="9">
        <v>2446</v>
      </c>
    </row>
    <row r="44" spans="1:18">
      <c r="A44" s="9" t="s">
        <v>388</v>
      </c>
      <c r="B44" s="10">
        <v>42989</v>
      </c>
      <c r="C44" s="11">
        <v>0.29166666666666669</v>
      </c>
      <c r="D44" s="10">
        <v>42989</v>
      </c>
      <c r="E44" s="11">
        <v>0.75</v>
      </c>
      <c r="F44" s="9" t="s">
        <v>242</v>
      </c>
      <c r="G44" s="9" t="s">
        <v>242</v>
      </c>
      <c r="H44" s="8" t="str">
        <f t="shared" si="0"/>
        <v>No</v>
      </c>
      <c r="I44" s="9"/>
      <c r="J44" s="9" t="s">
        <v>33</v>
      </c>
      <c r="K44" s="9" t="s">
        <v>232</v>
      </c>
      <c r="L44" s="9" t="s">
        <v>233</v>
      </c>
      <c r="M44" s="10">
        <v>42440</v>
      </c>
      <c r="N44" s="10"/>
      <c r="O44" s="9">
        <v>915</v>
      </c>
      <c r="P44" s="9">
        <v>106</v>
      </c>
      <c r="Q44" s="9">
        <v>25</v>
      </c>
      <c r="R44" s="9">
        <v>2435</v>
      </c>
    </row>
    <row r="45" spans="1:18">
      <c r="A45" s="9" t="s">
        <v>276</v>
      </c>
      <c r="B45" s="10">
        <v>42990</v>
      </c>
      <c r="C45" s="11">
        <v>0.29166666666666669</v>
      </c>
      <c r="D45" s="10">
        <v>42990</v>
      </c>
      <c r="E45" s="11">
        <v>0.70833333333333337</v>
      </c>
      <c r="F45" s="9" t="s">
        <v>235</v>
      </c>
      <c r="G45" s="9" t="s">
        <v>235</v>
      </c>
      <c r="H45" s="8" t="str">
        <f t="shared" si="0"/>
        <v>No</v>
      </c>
      <c r="I45" s="9">
        <v>9</v>
      </c>
      <c r="J45" s="9" t="s">
        <v>33</v>
      </c>
      <c r="K45" s="9" t="s">
        <v>232</v>
      </c>
      <c r="L45" s="9" t="s">
        <v>233</v>
      </c>
      <c r="M45" s="10">
        <v>42194</v>
      </c>
      <c r="N45" s="10"/>
      <c r="O45" s="9">
        <v>963</v>
      </c>
      <c r="P45" s="9">
        <v>106</v>
      </c>
      <c r="Q45" s="9">
        <v>28</v>
      </c>
      <c r="R45" s="9">
        <v>2490</v>
      </c>
    </row>
    <row r="46" spans="1:18">
      <c r="A46" s="9" t="s">
        <v>387</v>
      </c>
      <c r="B46" s="10">
        <v>42990</v>
      </c>
      <c r="C46" s="11">
        <v>0.29166666666666669</v>
      </c>
      <c r="D46" s="10">
        <v>42990</v>
      </c>
      <c r="E46" s="11">
        <v>0.70833333333333337</v>
      </c>
      <c r="F46" s="9" t="s">
        <v>235</v>
      </c>
      <c r="G46" s="9" t="s">
        <v>235</v>
      </c>
      <c r="H46" s="8" t="str">
        <f t="shared" si="0"/>
        <v>No</v>
      </c>
      <c r="I46" s="9">
        <v>9</v>
      </c>
      <c r="J46" s="9" t="s">
        <v>231</v>
      </c>
      <c r="K46" s="9" t="s">
        <v>223</v>
      </c>
      <c r="L46" s="9" t="s">
        <v>284</v>
      </c>
      <c r="M46" s="10">
        <v>42278</v>
      </c>
      <c r="N46" s="10"/>
      <c r="O46" s="9">
        <v>894</v>
      </c>
      <c r="P46" s="9">
        <v>117</v>
      </c>
      <c r="Q46" s="9">
        <v>27</v>
      </c>
      <c r="R46" s="13">
        <v>3006</v>
      </c>
    </row>
    <row r="47" spans="1:18">
      <c r="A47" s="14" t="s">
        <v>383</v>
      </c>
      <c r="B47" s="14" t="s">
        <v>389</v>
      </c>
      <c r="C47" s="16">
        <v>0.95833333333333337</v>
      </c>
      <c r="D47" s="15">
        <v>42991</v>
      </c>
      <c r="E47" s="16">
        <v>0.89583333333333337</v>
      </c>
      <c r="F47" s="14" t="s">
        <v>235</v>
      </c>
      <c r="G47" s="14" t="s">
        <v>236</v>
      </c>
      <c r="H47" s="8" t="str">
        <f t="shared" si="0"/>
        <v>Yes</v>
      </c>
      <c r="I47" s="14"/>
      <c r="J47" s="14" t="s">
        <v>33</v>
      </c>
      <c r="K47" s="14" t="s">
        <v>228</v>
      </c>
      <c r="L47" s="14" t="s">
        <v>228</v>
      </c>
      <c r="M47" s="15">
        <v>42923</v>
      </c>
      <c r="N47" s="15"/>
      <c r="O47" s="14">
        <v>267</v>
      </c>
      <c r="R47" s="14">
        <v>170</v>
      </c>
    </row>
    <row r="48" spans="1:18">
      <c r="A48" s="9" t="s">
        <v>263</v>
      </c>
      <c r="B48" s="10">
        <v>42992</v>
      </c>
      <c r="C48" s="11">
        <v>0.33333333333333331</v>
      </c>
      <c r="D48" s="10">
        <v>42992</v>
      </c>
      <c r="E48" s="11">
        <v>0.83333333333333337</v>
      </c>
      <c r="F48" s="9" t="s">
        <v>222</v>
      </c>
      <c r="G48" s="9" t="s">
        <v>222</v>
      </c>
      <c r="H48" s="8" t="str">
        <f t="shared" si="0"/>
        <v>No</v>
      </c>
      <c r="I48" s="9">
        <v>9</v>
      </c>
      <c r="J48" s="9" t="s">
        <v>231</v>
      </c>
      <c r="K48" s="9" t="s">
        <v>223</v>
      </c>
      <c r="L48" s="9" t="s">
        <v>224</v>
      </c>
      <c r="M48" s="10">
        <v>42353</v>
      </c>
      <c r="N48" s="10"/>
      <c r="O48" s="9">
        <v>964</v>
      </c>
      <c r="P48" s="9">
        <v>106</v>
      </c>
      <c r="Q48" s="9">
        <v>58</v>
      </c>
      <c r="R48" s="9">
        <v>2394</v>
      </c>
    </row>
    <row r="49" spans="1:18">
      <c r="A49" s="14" t="s">
        <v>237</v>
      </c>
      <c r="B49" s="15">
        <v>42993</v>
      </c>
      <c r="C49" s="16">
        <v>0.70833333333333337</v>
      </c>
      <c r="D49" s="15">
        <v>42994</v>
      </c>
      <c r="E49" s="16">
        <v>0.5625</v>
      </c>
      <c r="F49" s="14" t="s">
        <v>238</v>
      </c>
      <c r="G49" s="14" t="s">
        <v>216</v>
      </c>
      <c r="H49" s="8" t="str">
        <f t="shared" si="0"/>
        <v>Yes</v>
      </c>
      <c r="I49" s="14"/>
      <c r="J49" s="14" t="s">
        <v>33</v>
      </c>
      <c r="K49" s="14" t="s">
        <v>228</v>
      </c>
      <c r="L49" s="14" t="s">
        <v>228</v>
      </c>
      <c r="M49" s="15">
        <v>42235</v>
      </c>
      <c r="N49" s="15"/>
      <c r="O49" s="14">
        <v>215</v>
      </c>
      <c r="R49" s="14">
        <v>98</v>
      </c>
    </row>
    <row r="50" spans="1:18">
      <c r="A50" s="9" t="s">
        <v>390</v>
      </c>
      <c r="B50" s="10">
        <v>42994</v>
      </c>
      <c r="C50" s="11">
        <v>0.54166666666666663</v>
      </c>
      <c r="D50" s="10">
        <v>42994</v>
      </c>
      <c r="E50" s="11">
        <v>0.875</v>
      </c>
      <c r="F50" s="9" t="s">
        <v>216</v>
      </c>
      <c r="G50" s="9" t="s">
        <v>216</v>
      </c>
      <c r="H50" s="8" t="str">
        <f t="shared" si="0"/>
        <v>No</v>
      </c>
      <c r="I50" s="9"/>
      <c r="J50" s="9" t="s">
        <v>33</v>
      </c>
      <c r="K50" s="9" t="s">
        <v>218</v>
      </c>
      <c r="L50" s="9" t="s">
        <v>289</v>
      </c>
      <c r="M50" s="10">
        <v>42264</v>
      </c>
      <c r="N50" s="10"/>
      <c r="O50" s="9">
        <v>610</v>
      </c>
      <c r="P50" s="9">
        <v>82</v>
      </c>
      <c r="Q50" s="9">
        <v>19</v>
      </c>
      <c r="R50" s="9">
        <v>382</v>
      </c>
    </row>
    <row r="51" spans="1:18">
      <c r="A51" s="9" t="s">
        <v>386</v>
      </c>
      <c r="B51" s="10">
        <v>42995</v>
      </c>
      <c r="C51" s="11">
        <v>0.29166666666666669</v>
      </c>
      <c r="D51" s="10">
        <v>42995</v>
      </c>
      <c r="E51" s="11">
        <v>0.70833333333333337</v>
      </c>
      <c r="F51" s="9" t="s">
        <v>227</v>
      </c>
      <c r="G51" s="9" t="s">
        <v>227</v>
      </c>
      <c r="H51" s="8" t="str">
        <f t="shared" si="0"/>
        <v>No</v>
      </c>
      <c r="I51" s="9">
        <v>9</v>
      </c>
      <c r="J51" s="9" t="s">
        <v>231</v>
      </c>
      <c r="K51" s="9" t="s">
        <v>232</v>
      </c>
      <c r="L51" s="9" t="s">
        <v>233</v>
      </c>
      <c r="M51" s="10">
        <v>42194</v>
      </c>
      <c r="N51" s="10"/>
      <c r="O51" s="9">
        <v>1142</v>
      </c>
      <c r="P51" s="9">
        <v>42</v>
      </c>
      <c r="Q51" s="9">
        <v>8.8000000000000007</v>
      </c>
      <c r="R51" s="9">
        <v>4905</v>
      </c>
    </row>
    <row r="52" spans="1:18">
      <c r="A52" s="9" t="s">
        <v>276</v>
      </c>
      <c r="B52" s="10">
        <v>42996</v>
      </c>
      <c r="C52" s="11">
        <v>0.29166666666666669</v>
      </c>
      <c r="D52" s="10">
        <v>42996</v>
      </c>
      <c r="E52" s="11">
        <v>0.75</v>
      </c>
      <c r="F52" s="9" t="s">
        <v>242</v>
      </c>
      <c r="G52" s="9" t="s">
        <v>242</v>
      </c>
      <c r="H52" s="8" t="str">
        <f t="shared" si="0"/>
        <v>No</v>
      </c>
      <c r="I52" s="9">
        <v>9</v>
      </c>
      <c r="J52" s="9" t="s">
        <v>231</v>
      </c>
      <c r="K52" s="9" t="s">
        <v>232</v>
      </c>
      <c r="L52" s="9" t="s">
        <v>233</v>
      </c>
      <c r="M52" s="10">
        <v>42194</v>
      </c>
      <c r="N52" s="10"/>
      <c r="O52" s="9">
        <v>963</v>
      </c>
      <c r="P52" s="9">
        <v>106</v>
      </c>
      <c r="Q52" s="9">
        <v>28</v>
      </c>
      <c r="R52" s="9">
        <v>2490</v>
      </c>
    </row>
    <row r="53" spans="1:18">
      <c r="A53" s="9" t="s">
        <v>215</v>
      </c>
      <c r="B53" s="10">
        <v>42997</v>
      </c>
      <c r="C53" s="11">
        <v>0.375</v>
      </c>
      <c r="D53" s="10">
        <v>42998</v>
      </c>
      <c r="E53" s="11">
        <v>0.625</v>
      </c>
      <c r="F53" s="9" t="s">
        <v>235</v>
      </c>
      <c r="G53" s="9" t="s">
        <v>236</v>
      </c>
      <c r="H53" s="8" t="str">
        <f t="shared" si="0"/>
        <v>Yes</v>
      </c>
      <c r="I53" s="12" t="s">
        <v>208</v>
      </c>
      <c r="J53" s="9" t="s">
        <v>217</v>
      </c>
      <c r="K53" s="9" t="s">
        <v>223</v>
      </c>
      <c r="L53" s="9" t="s">
        <v>219</v>
      </c>
      <c r="M53" s="10">
        <v>42580</v>
      </c>
      <c r="N53" s="10"/>
      <c r="O53" s="9">
        <v>325</v>
      </c>
      <c r="R53" s="9">
        <v>197</v>
      </c>
    </row>
    <row r="54" spans="1:18">
      <c r="A54" s="9" t="s">
        <v>387</v>
      </c>
      <c r="B54" s="10">
        <v>42997</v>
      </c>
      <c r="C54" s="11">
        <v>0.29166666666666669</v>
      </c>
      <c r="D54" s="10">
        <v>42997</v>
      </c>
      <c r="E54" s="11">
        <v>0.70833333333333337</v>
      </c>
      <c r="F54" s="9" t="s">
        <v>235</v>
      </c>
      <c r="G54" s="9" t="s">
        <v>235</v>
      </c>
      <c r="H54" s="8" t="str">
        <f t="shared" si="0"/>
        <v>No</v>
      </c>
      <c r="I54" s="9">
        <v>9</v>
      </c>
      <c r="J54" s="9" t="s">
        <v>231</v>
      </c>
      <c r="K54" s="9" t="s">
        <v>223</v>
      </c>
      <c r="L54" s="9" t="s">
        <v>284</v>
      </c>
      <c r="M54" s="10">
        <v>42278</v>
      </c>
      <c r="N54" s="10"/>
      <c r="O54" s="9">
        <v>894</v>
      </c>
      <c r="P54" s="9">
        <v>117</v>
      </c>
      <c r="Q54" s="9">
        <v>27</v>
      </c>
      <c r="R54" s="13">
        <v>3006</v>
      </c>
    </row>
    <row r="55" spans="1:18">
      <c r="A55" s="9" t="s">
        <v>263</v>
      </c>
      <c r="B55" s="10">
        <v>42998</v>
      </c>
      <c r="C55" s="11">
        <v>0.33333333333333331</v>
      </c>
      <c r="D55" s="10">
        <v>42998</v>
      </c>
      <c r="E55" s="11">
        <v>0.75</v>
      </c>
      <c r="F55" s="9" t="s">
        <v>236</v>
      </c>
      <c r="G55" s="9" t="s">
        <v>236</v>
      </c>
      <c r="H55" s="8" t="str">
        <f t="shared" si="0"/>
        <v>No</v>
      </c>
      <c r="I55" s="9">
        <v>9</v>
      </c>
      <c r="J55" s="9" t="s">
        <v>33</v>
      </c>
      <c r="K55" s="9" t="s">
        <v>223</v>
      </c>
      <c r="L55" s="9" t="s">
        <v>224</v>
      </c>
      <c r="M55" s="10">
        <v>42353</v>
      </c>
      <c r="N55" s="10"/>
      <c r="O55" s="9">
        <v>964</v>
      </c>
      <c r="P55" s="9">
        <v>106</v>
      </c>
      <c r="Q55" s="9">
        <v>58</v>
      </c>
      <c r="R55" s="9">
        <v>2394</v>
      </c>
    </row>
    <row r="56" spans="1:18">
      <c r="A56" s="9" t="s">
        <v>391</v>
      </c>
      <c r="B56" s="10">
        <v>42998</v>
      </c>
      <c r="C56" s="11">
        <v>0.33333333333333331</v>
      </c>
      <c r="D56" s="10">
        <v>42998</v>
      </c>
      <c r="E56" s="11">
        <v>0.83333333333333337</v>
      </c>
      <c r="F56" s="9" t="s">
        <v>236</v>
      </c>
      <c r="G56" s="9" t="s">
        <v>236</v>
      </c>
      <c r="H56" s="8" t="str">
        <f t="shared" si="0"/>
        <v>No</v>
      </c>
      <c r="I56" s="9">
        <v>10</v>
      </c>
      <c r="J56" s="9" t="s">
        <v>231</v>
      </c>
      <c r="K56" s="9" t="s">
        <v>218</v>
      </c>
      <c r="L56" s="9" t="s">
        <v>392</v>
      </c>
      <c r="M56" s="10">
        <v>42342</v>
      </c>
      <c r="N56" s="10"/>
      <c r="O56" s="9">
        <v>820</v>
      </c>
      <c r="P56" s="9">
        <v>106</v>
      </c>
      <c r="Q56" s="9">
        <v>25</v>
      </c>
      <c r="R56" s="9">
        <v>1070</v>
      </c>
    </row>
    <row r="57" spans="1:18">
      <c r="A57" s="14" t="s">
        <v>237</v>
      </c>
      <c r="B57" s="15">
        <v>42998</v>
      </c>
      <c r="C57" s="16">
        <v>0.75</v>
      </c>
      <c r="D57" s="15">
        <v>43000</v>
      </c>
      <c r="E57" s="16">
        <v>0.41666666666666669</v>
      </c>
      <c r="F57" s="14" t="s">
        <v>236</v>
      </c>
      <c r="G57" s="14" t="s">
        <v>238</v>
      </c>
      <c r="H57" s="8" t="str">
        <f t="shared" si="0"/>
        <v>Yes</v>
      </c>
      <c r="I57" s="14"/>
      <c r="J57" s="14" t="s">
        <v>217</v>
      </c>
      <c r="K57" s="14" t="s">
        <v>228</v>
      </c>
      <c r="L57" s="14" t="s">
        <v>228</v>
      </c>
      <c r="M57" s="15">
        <v>42235</v>
      </c>
      <c r="N57" s="15"/>
      <c r="O57" s="14">
        <v>215</v>
      </c>
      <c r="R57" s="14">
        <v>98</v>
      </c>
    </row>
    <row r="58" spans="1:18">
      <c r="A58" s="9" t="s">
        <v>240</v>
      </c>
      <c r="B58" s="10">
        <v>43000</v>
      </c>
      <c r="C58" s="11">
        <v>0.33333333333333331</v>
      </c>
      <c r="D58" s="10">
        <v>43000</v>
      </c>
      <c r="E58" s="11">
        <v>0.75</v>
      </c>
      <c r="F58" s="9" t="s">
        <v>238</v>
      </c>
      <c r="G58" s="9" t="s">
        <v>238</v>
      </c>
      <c r="H58" s="8" t="str">
        <f t="shared" si="0"/>
        <v>No</v>
      </c>
      <c r="I58" s="9">
        <v>10</v>
      </c>
      <c r="J58" s="9" t="s">
        <v>33</v>
      </c>
      <c r="K58" s="9" t="s">
        <v>232</v>
      </c>
      <c r="L58" s="9" t="s">
        <v>241</v>
      </c>
      <c r="M58" s="10">
        <v>42745</v>
      </c>
      <c r="N58" s="10"/>
      <c r="O58" s="9">
        <v>965</v>
      </c>
      <c r="P58" s="9">
        <v>106</v>
      </c>
      <c r="Q58" s="9">
        <v>27</v>
      </c>
      <c r="R58" s="9">
        <v>2158</v>
      </c>
    </row>
    <row r="59" spans="1:18">
      <c r="A59" s="9" t="s">
        <v>221</v>
      </c>
      <c r="B59" s="10">
        <v>43001</v>
      </c>
      <c r="C59" s="11">
        <v>0.29166666666666669</v>
      </c>
      <c r="D59" s="10">
        <v>43001</v>
      </c>
      <c r="E59" s="11">
        <v>0.625</v>
      </c>
      <c r="F59" s="9" t="s">
        <v>216</v>
      </c>
      <c r="G59" s="9" t="s">
        <v>216</v>
      </c>
      <c r="H59" s="8" t="str">
        <f t="shared" si="0"/>
        <v>No</v>
      </c>
      <c r="I59" s="9"/>
      <c r="J59" s="9" t="s">
        <v>33</v>
      </c>
      <c r="K59" s="9" t="s">
        <v>223</v>
      </c>
      <c r="L59" s="9" t="s">
        <v>224</v>
      </c>
      <c r="M59" s="10">
        <v>41813</v>
      </c>
      <c r="N59" s="10"/>
      <c r="O59" s="9">
        <v>965</v>
      </c>
      <c r="P59" s="9">
        <v>106</v>
      </c>
      <c r="Q59" s="9">
        <v>27</v>
      </c>
      <c r="R59" s="13">
        <v>2338</v>
      </c>
    </row>
    <row r="60" spans="1:18">
      <c r="A60" s="9" t="s">
        <v>393</v>
      </c>
      <c r="B60" s="10">
        <v>43002</v>
      </c>
      <c r="C60" s="11">
        <v>0.29166666666666669</v>
      </c>
      <c r="D60" s="10">
        <v>43002</v>
      </c>
      <c r="E60" s="11">
        <v>0.6875</v>
      </c>
      <c r="F60" s="9" t="s">
        <v>227</v>
      </c>
      <c r="G60" s="9" t="s">
        <v>227</v>
      </c>
      <c r="H60" s="8" t="str">
        <f t="shared" si="0"/>
        <v>No</v>
      </c>
      <c r="I60" s="9"/>
      <c r="J60" s="9" t="s">
        <v>217</v>
      </c>
      <c r="K60" s="9" t="s">
        <v>218</v>
      </c>
      <c r="L60" s="9" t="s">
        <v>289</v>
      </c>
      <c r="M60" s="10">
        <v>42648</v>
      </c>
      <c r="N60" s="10"/>
      <c r="O60" s="9">
        <v>354</v>
      </c>
      <c r="P60" s="8">
        <v>51</v>
      </c>
      <c r="Q60" s="9">
        <v>23</v>
      </c>
      <c r="R60" s="9">
        <v>132</v>
      </c>
    </row>
    <row r="61" spans="1:18">
      <c r="A61" s="9" t="s">
        <v>230</v>
      </c>
      <c r="B61" s="10">
        <v>43003</v>
      </c>
      <c r="C61" s="11">
        <v>0.33333333333333331</v>
      </c>
      <c r="D61" s="10">
        <v>43003</v>
      </c>
      <c r="E61" s="11">
        <v>0.66666666666666663</v>
      </c>
      <c r="F61" s="9" t="s">
        <v>242</v>
      </c>
      <c r="G61" s="9" t="s">
        <v>242</v>
      </c>
      <c r="H61" s="8" t="str">
        <f t="shared" si="0"/>
        <v>No</v>
      </c>
      <c r="I61" s="9">
        <v>9</v>
      </c>
      <c r="J61" s="9" t="s">
        <v>33</v>
      </c>
      <c r="K61" s="9" t="s">
        <v>232</v>
      </c>
      <c r="L61" s="9" t="s">
        <v>233</v>
      </c>
      <c r="M61" s="10">
        <v>41829</v>
      </c>
      <c r="N61" s="10"/>
      <c r="O61" s="9">
        <v>918</v>
      </c>
      <c r="P61" s="9">
        <v>106</v>
      </c>
      <c r="Q61" s="9">
        <v>26</v>
      </c>
      <c r="R61" s="9">
        <v>2446</v>
      </c>
    </row>
    <row r="62" spans="1:18">
      <c r="A62" s="9" t="s">
        <v>394</v>
      </c>
      <c r="B62" s="10">
        <v>43003</v>
      </c>
      <c r="C62" s="11">
        <v>0.29166666666666669</v>
      </c>
      <c r="D62" s="10">
        <v>43003</v>
      </c>
      <c r="E62" s="11">
        <v>0.625</v>
      </c>
      <c r="F62" s="9" t="s">
        <v>395</v>
      </c>
      <c r="G62" s="9" t="s">
        <v>395</v>
      </c>
      <c r="H62" s="8" t="str">
        <f t="shared" si="0"/>
        <v>No</v>
      </c>
      <c r="I62" s="9">
        <v>9</v>
      </c>
      <c r="J62" s="9" t="s">
        <v>396</v>
      </c>
      <c r="K62" s="9" t="s">
        <v>397</v>
      </c>
      <c r="L62" s="9" t="s">
        <v>398</v>
      </c>
      <c r="M62" s="10">
        <v>42997</v>
      </c>
      <c r="N62" s="10"/>
      <c r="O62" s="9">
        <v>1142</v>
      </c>
      <c r="P62" s="9">
        <v>42</v>
      </c>
      <c r="Q62" s="9">
        <v>8.8000000000000007</v>
      </c>
      <c r="R62" s="9">
        <v>4905</v>
      </c>
    </row>
    <row r="63" spans="1:18">
      <c r="A63" s="9" t="s">
        <v>399</v>
      </c>
      <c r="B63" s="10">
        <v>43004</v>
      </c>
      <c r="C63" s="11">
        <v>0.29166666666666669</v>
      </c>
      <c r="D63" s="10">
        <v>43004</v>
      </c>
      <c r="E63" s="11">
        <v>0.70833333333333337</v>
      </c>
      <c r="F63" s="9" t="s">
        <v>400</v>
      </c>
      <c r="G63" s="9" t="s">
        <v>400</v>
      </c>
      <c r="H63" s="8" t="str">
        <f t="shared" si="0"/>
        <v>No</v>
      </c>
      <c r="I63" s="9">
        <v>9</v>
      </c>
      <c r="J63" s="9" t="s">
        <v>401</v>
      </c>
      <c r="K63" s="9" t="s">
        <v>397</v>
      </c>
      <c r="L63" s="9" t="s">
        <v>398</v>
      </c>
      <c r="M63" s="10">
        <v>42272</v>
      </c>
      <c r="N63" s="10"/>
      <c r="O63" s="9">
        <v>963</v>
      </c>
      <c r="P63" s="9">
        <v>106</v>
      </c>
      <c r="Q63" s="9">
        <v>28</v>
      </c>
      <c r="R63" s="9">
        <v>2490</v>
      </c>
    </row>
    <row r="64" spans="1:18">
      <c r="A64" s="9" t="s">
        <v>402</v>
      </c>
      <c r="B64" s="10">
        <v>43004</v>
      </c>
      <c r="C64" s="11">
        <v>0.29166666666666669</v>
      </c>
      <c r="D64" s="10">
        <v>43004</v>
      </c>
      <c r="E64" s="11">
        <v>0.70833333333333337</v>
      </c>
      <c r="F64" s="9" t="s">
        <v>400</v>
      </c>
      <c r="G64" s="9" t="s">
        <v>400</v>
      </c>
      <c r="H64" s="8" t="str">
        <f t="shared" ref="H64:H94" si="1">IF(F64=G64,"No","Yes")</f>
        <v>No</v>
      </c>
      <c r="I64" s="9">
        <v>9</v>
      </c>
      <c r="J64" s="9" t="s">
        <v>396</v>
      </c>
      <c r="K64" s="9" t="s">
        <v>403</v>
      </c>
      <c r="L64" s="9" t="s">
        <v>404</v>
      </c>
      <c r="M64" s="10">
        <v>42278</v>
      </c>
      <c r="N64" s="10"/>
      <c r="O64" s="9">
        <v>894</v>
      </c>
      <c r="P64" s="9">
        <v>117</v>
      </c>
      <c r="Q64" s="9">
        <v>27</v>
      </c>
      <c r="R64" s="13">
        <v>3006</v>
      </c>
    </row>
    <row r="65" spans="1:21">
      <c r="A65" s="9" t="s">
        <v>407</v>
      </c>
      <c r="B65" s="10">
        <v>43005</v>
      </c>
      <c r="C65" s="11">
        <v>0.29166666666666669</v>
      </c>
      <c r="D65" s="10">
        <v>43005</v>
      </c>
      <c r="E65" s="11">
        <v>0.75</v>
      </c>
      <c r="F65" s="9" t="s">
        <v>408</v>
      </c>
      <c r="G65" s="9" t="s">
        <v>408</v>
      </c>
      <c r="H65" s="8" t="str">
        <f t="shared" si="1"/>
        <v>No</v>
      </c>
      <c r="I65" s="9">
        <v>11</v>
      </c>
      <c r="J65" s="9" t="s">
        <v>401</v>
      </c>
      <c r="K65" s="9" t="s">
        <v>397</v>
      </c>
      <c r="L65" s="9" t="s">
        <v>398</v>
      </c>
      <c r="M65" s="10">
        <v>42440</v>
      </c>
      <c r="N65" s="10"/>
      <c r="O65" s="9">
        <v>915</v>
      </c>
      <c r="P65" s="9">
        <v>106</v>
      </c>
      <c r="Q65" s="9">
        <v>25</v>
      </c>
      <c r="R65" s="9">
        <v>2435</v>
      </c>
    </row>
    <row r="66" spans="1:21">
      <c r="A66" s="9" t="s">
        <v>409</v>
      </c>
      <c r="B66" s="10">
        <v>43006</v>
      </c>
      <c r="C66" s="11">
        <v>0.33333333333333331</v>
      </c>
      <c r="D66" s="10">
        <v>43006</v>
      </c>
      <c r="E66" s="11">
        <v>0.83333333333333337</v>
      </c>
      <c r="F66" s="9" t="s">
        <v>410</v>
      </c>
      <c r="G66" s="9" t="s">
        <v>410</v>
      </c>
      <c r="H66" s="8" t="str">
        <f t="shared" si="1"/>
        <v>No</v>
      </c>
      <c r="I66" s="9">
        <v>9</v>
      </c>
      <c r="J66" s="9" t="s">
        <v>396</v>
      </c>
      <c r="K66" s="9" t="s">
        <v>403</v>
      </c>
      <c r="L66" s="9" t="s">
        <v>411</v>
      </c>
      <c r="M66" s="10">
        <v>42353</v>
      </c>
      <c r="N66" s="10"/>
      <c r="O66" s="9">
        <v>964</v>
      </c>
      <c r="P66" s="9">
        <v>106</v>
      </c>
      <c r="Q66" s="9">
        <v>58</v>
      </c>
      <c r="R66" s="9">
        <v>2394</v>
      </c>
    </row>
    <row r="67" spans="1:21">
      <c r="A67" s="9" t="s">
        <v>394</v>
      </c>
      <c r="B67" s="10">
        <v>43009</v>
      </c>
      <c r="C67" s="11">
        <v>0.33333333333333331</v>
      </c>
      <c r="D67" s="10">
        <v>43009</v>
      </c>
      <c r="E67" s="11">
        <v>0.70833333333333337</v>
      </c>
      <c r="F67" s="9" t="s">
        <v>412</v>
      </c>
      <c r="G67" s="9" t="s">
        <v>412</v>
      </c>
      <c r="H67" s="8" t="str">
        <f t="shared" si="1"/>
        <v>No</v>
      </c>
      <c r="I67" s="9">
        <v>9</v>
      </c>
      <c r="J67" s="9" t="s">
        <v>396</v>
      </c>
      <c r="K67" s="9" t="s">
        <v>397</v>
      </c>
      <c r="L67" s="9" t="s">
        <v>398</v>
      </c>
      <c r="M67" s="10">
        <v>42194</v>
      </c>
      <c r="N67" s="10"/>
      <c r="O67" s="9">
        <v>1142</v>
      </c>
      <c r="P67" s="9">
        <v>42</v>
      </c>
      <c r="Q67" s="9">
        <v>8.8000000000000007</v>
      </c>
      <c r="R67" s="9">
        <v>4905</v>
      </c>
    </row>
    <row r="68" spans="1:21">
      <c r="A68" s="9" t="s">
        <v>413</v>
      </c>
      <c r="B68" s="10">
        <v>43010</v>
      </c>
      <c r="C68" s="11">
        <v>0.54166666666666663</v>
      </c>
      <c r="D68" s="10">
        <v>43010</v>
      </c>
      <c r="E68" s="11">
        <v>0.95833333333333337</v>
      </c>
      <c r="F68" s="9" t="s">
        <v>395</v>
      </c>
      <c r="G68" s="9" t="s">
        <v>395</v>
      </c>
      <c r="H68" s="8" t="str">
        <f t="shared" si="1"/>
        <v>No</v>
      </c>
      <c r="I68" s="9">
        <v>10</v>
      </c>
      <c r="J68" s="9" t="s">
        <v>401</v>
      </c>
      <c r="K68" s="9" t="s">
        <v>414</v>
      </c>
      <c r="L68" s="9" t="s">
        <v>415</v>
      </c>
      <c r="M68" s="10">
        <v>42719</v>
      </c>
      <c r="N68" s="10"/>
      <c r="O68" s="9">
        <v>699</v>
      </c>
      <c r="P68" s="9">
        <v>86</v>
      </c>
      <c r="Q68" s="9">
        <v>23</v>
      </c>
      <c r="R68" s="9">
        <v>596</v>
      </c>
      <c r="T68" s="9">
        <v>13.5</v>
      </c>
      <c r="U68" s="9">
        <v>200</v>
      </c>
    </row>
    <row r="69" spans="1:21">
      <c r="A69" s="9" t="s">
        <v>416</v>
      </c>
      <c r="B69" s="10">
        <v>43011</v>
      </c>
      <c r="C69" s="11">
        <v>0.29166666666666669</v>
      </c>
      <c r="D69" s="10">
        <v>43013</v>
      </c>
      <c r="E69" s="11">
        <v>0.75</v>
      </c>
      <c r="F69" s="9" t="s">
        <v>400</v>
      </c>
      <c r="G69" s="9" t="s">
        <v>400</v>
      </c>
      <c r="H69" s="8" t="str">
        <f t="shared" si="1"/>
        <v>No</v>
      </c>
      <c r="I69" s="9"/>
      <c r="J69" s="9" t="s">
        <v>401</v>
      </c>
      <c r="K69" s="9" t="s">
        <v>397</v>
      </c>
      <c r="L69" s="9" t="s">
        <v>398</v>
      </c>
      <c r="M69" s="10">
        <v>42440</v>
      </c>
      <c r="N69" s="10"/>
      <c r="O69" s="9">
        <v>915</v>
      </c>
      <c r="P69" s="9">
        <v>106</v>
      </c>
      <c r="Q69" s="9">
        <v>25</v>
      </c>
      <c r="R69" s="9">
        <v>2435</v>
      </c>
    </row>
    <row r="70" spans="1:21">
      <c r="A70" s="9" t="s">
        <v>417</v>
      </c>
      <c r="B70" s="10">
        <v>43012</v>
      </c>
      <c r="C70" s="11">
        <v>0.47916666666666669</v>
      </c>
      <c r="D70" s="10">
        <v>43012</v>
      </c>
      <c r="E70" s="11">
        <v>0.875</v>
      </c>
      <c r="F70" s="9" t="s">
        <v>408</v>
      </c>
      <c r="G70" s="9" t="s">
        <v>408</v>
      </c>
      <c r="H70" s="8" t="str">
        <f t="shared" si="1"/>
        <v>No</v>
      </c>
      <c r="I70" s="9"/>
      <c r="J70" s="9" t="s">
        <v>401</v>
      </c>
      <c r="K70" s="9" t="s">
        <v>403</v>
      </c>
      <c r="L70" s="9" t="s">
        <v>411</v>
      </c>
      <c r="M70" s="10">
        <v>42565</v>
      </c>
      <c r="N70" s="10"/>
      <c r="O70" s="9">
        <v>964</v>
      </c>
      <c r="P70" s="9">
        <v>106</v>
      </c>
      <c r="Q70" s="9">
        <v>58</v>
      </c>
      <c r="R70" s="9">
        <v>2402</v>
      </c>
    </row>
    <row r="71" spans="1:21">
      <c r="A71" s="9" t="s">
        <v>418</v>
      </c>
      <c r="B71" s="10">
        <v>43013</v>
      </c>
      <c r="C71" s="11">
        <v>0.33333333333333331</v>
      </c>
      <c r="D71" s="10">
        <v>43013</v>
      </c>
      <c r="E71" s="11">
        <v>0.83333333333333337</v>
      </c>
      <c r="F71" s="9" t="s">
        <v>410</v>
      </c>
      <c r="G71" s="9" t="s">
        <v>410</v>
      </c>
      <c r="H71" s="8" t="str">
        <f t="shared" si="1"/>
        <v>No</v>
      </c>
      <c r="I71" s="9">
        <v>9</v>
      </c>
      <c r="J71" s="9" t="s">
        <v>396</v>
      </c>
      <c r="K71" s="9" t="s">
        <v>403</v>
      </c>
      <c r="L71" s="9" t="s">
        <v>411</v>
      </c>
      <c r="M71" s="10">
        <v>41814</v>
      </c>
      <c r="N71" s="10"/>
      <c r="O71" s="9">
        <v>964</v>
      </c>
      <c r="P71" s="9">
        <v>106</v>
      </c>
      <c r="Q71" s="9">
        <v>58</v>
      </c>
      <c r="R71" s="9">
        <v>2394</v>
      </c>
    </row>
    <row r="72" spans="1:21">
      <c r="A72" s="9" t="s">
        <v>419</v>
      </c>
      <c r="B72" s="10">
        <v>43013</v>
      </c>
      <c r="C72" s="11">
        <v>0.45833333333333331</v>
      </c>
      <c r="D72" s="10">
        <v>43013</v>
      </c>
      <c r="E72" s="11">
        <v>0.875</v>
      </c>
      <c r="F72" s="9" t="s">
        <v>410</v>
      </c>
      <c r="G72" s="9" t="s">
        <v>410</v>
      </c>
      <c r="H72" s="8" t="str">
        <f t="shared" si="1"/>
        <v>No</v>
      </c>
      <c r="I72" s="9">
        <v>10</v>
      </c>
      <c r="J72" s="9" t="s">
        <v>401</v>
      </c>
      <c r="K72" s="9" t="s">
        <v>397</v>
      </c>
      <c r="L72" s="9" t="s">
        <v>420</v>
      </c>
      <c r="M72" s="10">
        <v>42339</v>
      </c>
      <c r="N72" s="10"/>
      <c r="O72" s="9">
        <v>965</v>
      </c>
      <c r="P72" s="9">
        <v>106</v>
      </c>
      <c r="Q72" s="9">
        <v>27</v>
      </c>
      <c r="R72" s="9">
        <v>2158</v>
      </c>
    </row>
    <row r="73" spans="1:21">
      <c r="A73" s="9" t="s">
        <v>421</v>
      </c>
      <c r="B73" s="10">
        <v>43014</v>
      </c>
      <c r="C73" s="11">
        <v>0.33333333333333331</v>
      </c>
      <c r="D73" s="10">
        <v>43014</v>
      </c>
      <c r="E73" s="11">
        <v>0.70833333333333337</v>
      </c>
      <c r="F73" s="9" t="s">
        <v>422</v>
      </c>
      <c r="G73" s="9" t="s">
        <v>422</v>
      </c>
      <c r="H73" s="8" t="str">
        <f t="shared" si="1"/>
        <v>No</v>
      </c>
      <c r="I73" s="9">
        <v>9</v>
      </c>
      <c r="J73" s="9" t="s">
        <v>401</v>
      </c>
      <c r="K73" s="9" t="s">
        <v>397</v>
      </c>
      <c r="L73" s="9" t="s">
        <v>398</v>
      </c>
      <c r="M73" s="10">
        <v>42220</v>
      </c>
      <c r="N73" s="10"/>
      <c r="O73" s="9">
        <v>963</v>
      </c>
      <c r="P73" s="9">
        <v>106</v>
      </c>
      <c r="Q73" s="9">
        <v>28</v>
      </c>
      <c r="R73" s="9">
        <v>2490</v>
      </c>
    </row>
    <row r="74" spans="1:21">
      <c r="A74" s="9" t="s">
        <v>423</v>
      </c>
      <c r="B74" s="10">
        <v>43015</v>
      </c>
      <c r="C74" s="11">
        <v>0.33333333333333331</v>
      </c>
      <c r="D74" s="10">
        <v>43015</v>
      </c>
      <c r="E74" s="11">
        <v>0.83333333333333337</v>
      </c>
      <c r="F74" s="9" t="s">
        <v>424</v>
      </c>
      <c r="G74" s="9" t="s">
        <v>424</v>
      </c>
      <c r="H74" s="8" t="str">
        <f t="shared" si="1"/>
        <v>No</v>
      </c>
      <c r="I74" s="9">
        <v>10</v>
      </c>
      <c r="J74" s="9" t="s">
        <v>396</v>
      </c>
      <c r="K74" s="9" t="s">
        <v>414</v>
      </c>
      <c r="L74" s="9" t="s">
        <v>425</v>
      </c>
      <c r="M74" s="10">
        <v>42342</v>
      </c>
      <c r="N74" s="10"/>
      <c r="O74" s="9">
        <v>820</v>
      </c>
      <c r="P74" s="9">
        <v>106</v>
      </c>
      <c r="Q74" s="9">
        <v>25</v>
      </c>
      <c r="R74" s="9">
        <v>1070</v>
      </c>
    </row>
    <row r="75" spans="1:21">
      <c r="A75" s="9" t="s">
        <v>426</v>
      </c>
      <c r="B75" s="10">
        <v>43015</v>
      </c>
      <c r="C75" s="11">
        <v>0.29166666666666669</v>
      </c>
      <c r="D75" s="10">
        <v>43015</v>
      </c>
      <c r="E75" s="11">
        <v>0.625</v>
      </c>
      <c r="F75" s="9" t="s">
        <v>424</v>
      </c>
      <c r="G75" s="9" t="s">
        <v>424</v>
      </c>
      <c r="H75" s="8" t="str">
        <f t="shared" si="1"/>
        <v>No</v>
      </c>
      <c r="I75" s="9"/>
      <c r="J75" s="9" t="s">
        <v>401</v>
      </c>
      <c r="K75" s="9" t="s">
        <v>403</v>
      </c>
      <c r="L75" s="9" t="s">
        <v>411</v>
      </c>
      <c r="M75" s="10">
        <v>41813</v>
      </c>
      <c r="N75" s="10"/>
      <c r="O75" s="9">
        <v>965</v>
      </c>
      <c r="P75" s="9">
        <v>106</v>
      </c>
      <c r="Q75" s="9">
        <v>27</v>
      </c>
      <c r="R75" s="13">
        <v>2338</v>
      </c>
    </row>
    <row r="76" spans="1:21">
      <c r="A76" s="9" t="s">
        <v>427</v>
      </c>
      <c r="B76" s="10">
        <v>43016</v>
      </c>
      <c r="C76" s="11">
        <v>0.33333333333333331</v>
      </c>
      <c r="D76" s="10">
        <v>43016</v>
      </c>
      <c r="E76" s="11">
        <v>0.70833333333333337</v>
      </c>
      <c r="F76" s="9" t="s">
        <v>412</v>
      </c>
      <c r="G76" s="9" t="s">
        <v>412</v>
      </c>
      <c r="H76" s="8" t="str">
        <f t="shared" si="1"/>
        <v>No</v>
      </c>
      <c r="I76" s="9">
        <v>9</v>
      </c>
      <c r="J76" s="9" t="s">
        <v>396</v>
      </c>
      <c r="K76" s="9" t="s">
        <v>397</v>
      </c>
      <c r="L76" s="9" t="s">
        <v>398</v>
      </c>
      <c r="M76" s="10">
        <v>41829</v>
      </c>
      <c r="N76" s="10"/>
      <c r="O76" s="9">
        <v>918</v>
      </c>
      <c r="P76" s="9">
        <v>106</v>
      </c>
      <c r="Q76" s="9">
        <v>26</v>
      </c>
      <c r="R76" s="9">
        <v>2446</v>
      </c>
    </row>
    <row r="77" spans="1:21">
      <c r="A77" s="9" t="s">
        <v>390</v>
      </c>
      <c r="B77" s="10">
        <v>43017</v>
      </c>
      <c r="C77" s="11">
        <v>0.375</v>
      </c>
      <c r="D77" s="10">
        <v>43017</v>
      </c>
      <c r="E77" s="11">
        <v>0.79166666666666663</v>
      </c>
      <c r="F77" s="9" t="s">
        <v>395</v>
      </c>
      <c r="G77" s="9" t="s">
        <v>395</v>
      </c>
      <c r="H77" s="8" t="str">
        <f t="shared" si="1"/>
        <v>No</v>
      </c>
      <c r="I77" s="9"/>
      <c r="J77" s="9" t="s">
        <v>401</v>
      </c>
      <c r="K77" s="9" t="s">
        <v>414</v>
      </c>
      <c r="L77" s="9" t="s">
        <v>415</v>
      </c>
      <c r="M77" s="10">
        <v>42264</v>
      </c>
      <c r="N77" s="10"/>
      <c r="O77" s="9">
        <v>610</v>
      </c>
      <c r="P77" s="9">
        <v>82</v>
      </c>
      <c r="Q77" s="9">
        <v>19</v>
      </c>
      <c r="R77" s="9">
        <v>382</v>
      </c>
    </row>
    <row r="78" spans="1:21">
      <c r="A78" s="9" t="s">
        <v>421</v>
      </c>
      <c r="B78" s="10">
        <v>43018</v>
      </c>
      <c r="C78" s="11">
        <v>0.29166666666666669</v>
      </c>
      <c r="D78" s="10">
        <v>43018</v>
      </c>
      <c r="E78" s="11">
        <v>0.70833333333333337</v>
      </c>
      <c r="F78" s="9" t="s">
        <v>400</v>
      </c>
      <c r="G78" s="9" t="s">
        <v>400</v>
      </c>
      <c r="H78" s="8" t="str">
        <f t="shared" si="1"/>
        <v>No</v>
      </c>
      <c r="I78" s="9">
        <v>10</v>
      </c>
      <c r="J78" s="9" t="s">
        <v>401</v>
      </c>
      <c r="K78" s="9" t="s">
        <v>398</v>
      </c>
      <c r="L78" s="9" t="s">
        <v>398</v>
      </c>
      <c r="M78" s="10">
        <v>42272</v>
      </c>
      <c r="N78" s="10"/>
      <c r="O78" s="9">
        <v>963</v>
      </c>
      <c r="P78" s="9">
        <v>106</v>
      </c>
      <c r="Q78" s="9">
        <v>28</v>
      </c>
      <c r="R78" s="9">
        <v>2490</v>
      </c>
    </row>
    <row r="79" spans="1:21">
      <c r="A79" s="9" t="s">
        <v>387</v>
      </c>
      <c r="B79" s="10">
        <v>43018</v>
      </c>
      <c r="C79" s="11">
        <v>0.29166666666666669</v>
      </c>
      <c r="D79" s="10">
        <v>43018</v>
      </c>
      <c r="E79" s="11">
        <v>0.625</v>
      </c>
      <c r="F79" s="9" t="s">
        <v>400</v>
      </c>
      <c r="G79" s="9" t="s">
        <v>400</v>
      </c>
      <c r="H79" s="8" t="str">
        <f t="shared" si="1"/>
        <v>No</v>
      </c>
      <c r="I79" s="9">
        <v>8</v>
      </c>
      <c r="J79" s="9" t="s">
        <v>396</v>
      </c>
      <c r="K79" s="9" t="s">
        <v>403</v>
      </c>
      <c r="L79" s="9" t="s">
        <v>404</v>
      </c>
      <c r="M79" s="10">
        <v>43011</v>
      </c>
      <c r="N79" s="10"/>
      <c r="O79" s="9">
        <v>894</v>
      </c>
      <c r="P79" s="9">
        <v>117</v>
      </c>
      <c r="Q79" s="9">
        <v>27</v>
      </c>
      <c r="R79" s="13">
        <v>3006</v>
      </c>
    </row>
    <row r="80" spans="1:21">
      <c r="A80" s="9" t="s">
        <v>428</v>
      </c>
      <c r="B80" s="10">
        <v>43018</v>
      </c>
      <c r="C80" s="11">
        <v>0.25</v>
      </c>
      <c r="D80" s="10">
        <v>43018</v>
      </c>
      <c r="E80" s="11">
        <v>0.625</v>
      </c>
      <c r="F80" s="9" t="s">
        <v>400</v>
      </c>
      <c r="G80" s="9" t="s">
        <v>400</v>
      </c>
      <c r="H80" s="8" t="str">
        <f t="shared" si="1"/>
        <v>No</v>
      </c>
      <c r="I80" s="9"/>
      <c r="J80" s="9" t="s">
        <v>406</v>
      </c>
      <c r="K80" s="9" t="s">
        <v>414</v>
      </c>
      <c r="L80" s="9" t="s">
        <v>429</v>
      </c>
      <c r="M80" s="10">
        <v>42580</v>
      </c>
      <c r="N80" s="10"/>
      <c r="O80" s="9">
        <v>325</v>
      </c>
      <c r="R80" s="9">
        <v>197</v>
      </c>
    </row>
    <row r="81" spans="1:18">
      <c r="A81" s="9" t="s">
        <v>419</v>
      </c>
      <c r="B81" s="10">
        <v>43019</v>
      </c>
      <c r="C81" s="11">
        <v>0.33333333333333331</v>
      </c>
      <c r="D81" s="10">
        <v>43019</v>
      </c>
      <c r="E81" s="11">
        <v>0.70833333333333337</v>
      </c>
      <c r="F81" s="9" t="s">
        <v>408</v>
      </c>
      <c r="G81" s="9" t="s">
        <v>408</v>
      </c>
      <c r="H81" s="8" t="str">
        <f t="shared" si="1"/>
        <v>No</v>
      </c>
      <c r="I81" s="9">
        <v>9</v>
      </c>
      <c r="J81" s="9" t="s">
        <v>396</v>
      </c>
      <c r="K81" s="9" t="s">
        <v>397</v>
      </c>
      <c r="L81" s="9" t="s">
        <v>420</v>
      </c>
      <c r="M81" s="10">
        <v>41829</v>
      </c>
      <c r="N81" s="10"/>
      <c r="O81" s="9">
        <v>965</v>
      </c>
      <c r="P81" s="9">
        <v>106</v>
      </c>
      <c r="Q81" s="9">
        <v>27</v>
      </c>
      <c r="R81" s="9">
        <v>2158</v>
      </c>
    </row>
    <row r="82" spans="1:18">
      <c r="A82" s="9" t="s">
        <v>430</v>
      </c>
      <c r="B82" s="10">
        <v>43020</v>
      </c>
      <c r="C82" s="11">
        <v>0.29166666666666669</v>
      </c>
      <c r="D82" s="10">
        <v>43020</v>
      </c>
      <c r="E82" s="11">
        <v>0.625</v>
      </c>
      <c r="F82" s="9" t="s">
        <v>410</v>
      </c>
      <c r="G82" s="9" t="s">
        <v>410</v>
      </c>
      <c r="H82" s="8" t="str">
        <f t="shared" si="1"/>
        <v>No</v>
      </c>
      <c r="I82" s="9"/>
      <c r="J82" s="9" t="s">
        <v>401</v>
      </c>
      <c r="K82" s="9" t="s">
        <v>431</v>
      </c>
      <c r="L82" s="9" t="s">
        <v>355</v>
      </c>
      <c r="M82" s="10">
        <v>42502</v>
      </c>
      <c r="N82" s="10"/>
      <c r="O82" s="9">
        <v>827</v>
      </c>
      <c r="P82" s="9">
        <v>106</v>
      </c>
      <c r="Q82" s="9">
        <v>23</v>
      </c>
      <c r="R82" s="9">
        <v>2050</v>
      </c>
    </row>
    <row r="83" spans="1:18">
      <c r="A83" s="9" t="s">
        <v>418</v>
      </c>
      <c r="B83" s="10">
        <v>43020</v>
      </c>
      <c r="C83" s="11">
        <v>0.33333333333333331</v>
      </c>
      <c r="D83" s="10">
        <v>43020</v>
      </c>
      <c r="E83" s="11">
        <v>0.83333333333333337</v>
      </c>
      <c r="F83" s="9" t="s">
        <v>410</v>
      </c>
      <c r="G83" s="9" t="s">
        <v>410</v>
      </c>
      <c r="H83" s="8" t="str">
        <f t="shared" si="1"/>
        <v>No</v>
      </c>
      <c r="I83" s="9">
        <v>9</v>
      </c>
      <c r="J83" s="9" t="s">
        <v>396</v>
      </c>
      <c r="K83" s="9" t="s">
        <v>403</v>
      </c>
      <c r="L83" s="9" t="s">
        <v>411</v>
      </c>
      <c r="M83" s="10">
        <v>42353</v>
      </c>
      <c r="N83" s="10"/>
      <c r="O83" s="9">
        <v>964</v>
      </c>
      <c r="P83" s="9">
        <v>106</v>
      </c>
      <c r="Q83" s="9">
        <v>58</v>
      </c>
      <c r="R83" s="9">
        <v>2394</v>
      </c>
    </row>
    <row r="84" spans="1:18">
      <c r="A84" s="9" t="s">
        <v>386</v>
      </c>
      <c r="B84" s="10">
        <v>43024</v>
      </c>
      <c r="C84" s="11">
        <v>0.29166666666666669</v>
      </c>
      <c r="D84" s="10">
        <v>43024</v>
      </c>
      <c r="E84" s="11">
        <v>0.625</v>
      </c>
      <c r="F84" s="9" t="s">
        <v>242</v>
      </c>
      <c r="G84" s="9" t="s">
        <v>242</v>
      </c>
      <c r="H84" s="8" t="str">
        <f t="shared" si="1"/>
        <v>No</v>
      </c>
      <c r="I84" s="9">
        <v>9</v>
      </c>
      <c r="J84" s="9" t="s">
        <v>231</v>
      </c>
      <c r="K84" s="9" t="s">
        <v>232</v>
      </c>
      <c r="L84" s="9" t="s">
        <v>233</v>
      </c>
      <c r="M84" s="10">
        <v>42194</v>
      </c>
      <c r="N84" s="10"/>
      <c r="O84" s="9">
        <v>1142</v>
      </c>
      <c r="P84" s="9">
        <v>42</v>
      </c>
      <c r="Q84" s="9">
        <v>8.8000000000000007</v>
      </c>
      <c r="R84" s="9">
        <v>4905</v>
      </c>
    </row>
    <row r="85" spans="1:18">
      <c r="A85" s="9" t="s">
        <v>257</v>
      </c>
      <c r="B85" s="10">
        <v>43025</v>
      </c>
      <c r="C85" s="11">
        <v>0.33333333333333331</v>
      </c>
      <c r="D85" s="10">
        <v>43025</v>
      </c>
      <c r="E85" s="11">
        <v>0.70833333333333337</v>
      </c>
      <c r="F85" s="9" t="s">
        <v>235</v>
      </c>
      <c r="G85" s="9" t="s">
        <v>235</v>
      </c>
      <c r="H85" s="8" t="str">
        <f t="shared" si="1"/>
        <v>No</v>
      </c>
      <c r="I85" s="9">
        <v>9</v>
      </c>
      <c r="J85" s="9" t="s">
        <v>231</v>
      </c>
      <c r="K85" s="9" t="s">
        <v>218</v>
      </c>
      <c r="L85" s="9" t="s">
        <v>258</v>
      </c>
      <c r="M85" s="10">
        <v>42691</v>
      </c>
      <c r="N85" s="10"/>
      <c r="O85" s="9">
        <v>936</v>
      </c>
      <c r="P85" s="9">
        <v>106</v>
      </c>
      <c r="Q85" s="9">
        <v>27</v>
      </c>
      <c r="R85" s="9">
        <v>1916</v>
      </c>
    </row>
    <row r="86" spans="1:18">
      <c r="A86" s="8" t="s">
        <v>388</v>
      </c>
      <c r="B86" s="10">
        <v>43025</v>
      </c>
      <c r="C86" s="11">
        <v>0.33333333333333331</v>
      </c>
      <c r="D86" s="10">
        <v>43025</v>
      </c>
      <c r="E86" s="11">
        <v>0.75</v>
      </c>
      <c r="F86" s="9" t="s">
        <v>235</v>
      </c>
      <c r="G86" s="9" t="s">
        <v>235</v>
      </c>
      <c r="H86" s="8" t="str">
        <f t="shared" si="1"/>
        <v>No</v>
      </c>
      <c r="I86" s="9">
        <v>10</v>
      </c>
      <c r="J86" s="9" t="s">
        <v>33</v>
      </c>
      <c r="K86" s="9" t="s">
        <v>232</v>
      </c>
      <c r="L86" s="9" t="s">
        <v>233</v>
      </c>
      <c r="M86" s="10">
        <v>42440</v>
      </c>
      <c r="N86" s="10"/>
      <c r="O86" s="9">
        <v>915</v>
      </c>
      <c r="P86" s="9">
        <v>106</v>
      </c>
      <c r="Q86" s="9">
        <v>25</v>
      </c>
      <c r="R86" s="9">
        <v>2435</v>
      </c>
    </row>
    <row r="87" spans="1:18">
      <c r="A87" s="9" t="s">
        <v>263</v>
      </c>
      <c r="B87" s="10">
        <v>43026</v>
      </c>
      <c r="C87" s="11">
        <v>0.33333333333333331</v>
      </c>
      <c r="D87" s="10">
        <v>43026</v>
      </c>
      <c r="E87" s="11">
        <v>0.75</v>
      </c>
      <c r="F87" s="9" t="s">
        <v>236</v>
      </c>
      <c r="G87" s="9" t="s">
        <v>236</v>
      </c>
      <c r="H87" s="8" t="str">
        <f t="shared" si="1"/>
        <v>No</v>
      </c>
      <c r="I87" s="9">
        <v>9</v>
      </c>
      <c r="J87" s="9" t="s">
        <v>33</v>
      </c>
      <c r="K87" s="9" t="s">
        <v>223</v>
      </c>
      <c r="L87" s="9" t="s">
        <v>224</v>
      </c>
      <c r="M87" s="10">
        <v>42353</v>
      </c>
      <c r="N87" s="10"/>
      <c r="O87" s="9">
        <v>964</v>
      </c>
      <c r="P87" s="9">
        <v>106</v>
      </c>
      <c r="Q87" s="9">
        <v>58</v>
      </c>
      <c r="R87" s="9">
        <v>2394</v>
      </c>
    </row>
    <row r="88" spans="1:18">
      <c r="A88" s="9" t="s">
        <v>368</v>
      </c>
      <c r="B88" s="10">
        <v>43028</v>
      </c>
      <c r="C88" s="11">
        <v>0.29166666666666669</v>
      </c>
      <c r="D88" s="10">
        <v>43028</v>
      </c>
      <c r="E88" s="11">
        <v>0.66666666666666663</v>
      </c>
      <c r="F88" s="9" t="s">
        <v>238</v>
      </c>
      <c r="G88" s="9" t="s">
        <v>238</v>
      </c>
      <c r="H88" s="8" t="str">
        <f t="shared" si="1"/>
        <v>No</v>
      </c>
      <c r="I88" s="9"/>
      <c r="J88" s="9" t="s">
        <v>231</v>
      </c>
      <c r="K88" s="9" t="s">
        <v>223</v>
      </c>
      <c r="L88" s="9" t="s">
        <v>266</v>
      </c>
      <c r="M88" s="10">
        <v>42338</v>
      </c>
      <c r="N88" s="10"/>
      <c r="O88" s="9">
        <v>560</v>
      </c>
      <c r="P88" s="9">
        <v>81</v>
      </c>
      <c r="Q88" s="9">
        <v>21</v>
      </c>
      <c r="R88" s="9">
        <v>490</v>
      </c>
    </row>
    <row r="89" spans="1:18">
      <c r="A89" s="9" t="s">
        <v>316</v>
      </c>
      <c r="B89" s="10">
        <v>43028</v>
      </c>
      <c r="C89" s="11">
        <v>0.29166666666666669</v>
      </c>
      <c r="D89" s="10">
        <v>43028</v>
      </c>
      <c r="E89" s="11">
        <v>0.58333333333333337</v>
      </c>
      <c r="F89" s="9" t="s">
        <v>238</v>
      </c>
      <c r="G89" s="9" t="s">
        <v>238</v>
      </c>
      <c r="H89" s="8" t="str">
        <f t="shared" si="1"/>
        <v>No</v>
      </c>
      <c r="I89" s="9">
        <v>7</v>
      </c>
      <c r="J89" s="9" t="s">
        <v>33</v>
      </c>
      <c r="K89" s="9" t="s">
        <v>218</v>
      </c>
      <c r="L89" s="9" t="s">
        <v>317</v>
      </c>
      <c r="M89" s="10">
        <v>42290</v>
      </c>
      <c r="N89" s="10"/>
      <c r="O89" s="9">
        <v>757</v>
      </c>
      <c r="P89" s="9">
        <v>107</v>
      </c>
      <c r="Q89" s="9">
        <v>43</v>
      </c>
      <c r="R89" s="9">
        <v>1200</v>
      </c>
    </row>
    <row r="90" spans="1:18">
      <c r="A90" s="9" t="s">
        <v>230</v>
      </c>
      <c r="B90" s="10">
        <v>43030</v>
      </c>
      <c r="C90" s="11">
        <v>0.33333333333333331</v>
      </c>
      <c r="D90" s="10">
        <v>43030</v>
      </c>
      <c r="E90" s="11">
        <v>0.70833333333333337</v>
      </c>
      <c r="F90" s="9" t="s">
        <v>227</v>
      </c>
      <c r="G90" s="9" t="s">
        <v>227</v>
      </c>
      <c r="H90" s="8" t="str">
        <f t="shared" si="1"/>
        <v>No</v>
      </c>
      <c r="I90" s="9">
        <v>9</v>
      </c>
      <c r="J90" s="9" t="s">
        <v>231</v>
      </c>
      <c r="K90" s="9" t="s">
        <v>232</v>
      </c>
      <c r="L90" s="9" t="s">
        <v>233</v>
      </c>
      <c r="M90" s="10">
        <v>41829</v>
      </c>
      <c r="N90" s="10"/>
      <c r="O90" s="9">
        <v>918</v>
      </c>
      <c r="P90" s="9">
        <v>106</v>
      </c>
      <c r="Q90" s="9">
        <v>26</v>
      </c>
      <c r="R90" s="9">
        <v>2446</v>
      </c>
    </row>
    <row r="91" spans="1:18">
      <c r="A91" s="9" t="s">
        <v>432</v>
      </c>
      <c r="B91" s="10">
        <v>43036</v>
      </c>
      <c r="C91" s="11">
        <v>0.5</v>
      </c>
      <c r="D91" s="10">
        <v>43036</v>
      </c>
      <c r="E91" s="11">
        <v>0.91666666666666663</v>
      </c>
      <c r="F91" s="9" t="s">
        <v>216</v>
      </c>
      <c r="G91" s="9" t="s">
        <v>216</v>
      </c>
      <c r="H91" s="8" t="str">
        <f t="shared" si="1"/>
        <v>No</v>
      </c>
      <c r="I91" s="9"/>
      <c r="J91" s="9" t="s">
        <v>33</v>
      </c>
      <c r="K91" s="9" t="s">
        <v>223</v>
      </c>
      <c r="L91" s="9" t="s">
        <v>355</v>
      </c>
      <c r="M91" s="10">
        <v>42071</v>
      </c>
      <c r="N91" s="10"/>
      <c r="O91" s="9">
        <v>831</v>
      </c>
      <c r="P91" s="9">
        <v>106</v>
      </c>
      <c r="Q91" s="9">
        <v>24</v>
      </c>
      <c r="R91" s="9">
        <v>2686</v>
      </c>
    </row>
    <row r="92" spans="1:18">
      <c r="A92" s="9" t="s">
        <v>390</v>
      </c>
      <c r="B92" s="10">
        <v>43038</v>
      </c>
      <c r="C92" s="11">
        <v>0.54166666666666663</v>
      </c>
      <c r="D92" s="10">
        <v>43038</v>
      </c>
      <c r="E92" s="11">
        <v>0.875</v>
      </c>
      <c r="F92" s="9" t="s">
        <v>242</v>
      </c>
      <c r="G92" s="9" t="s">
        <v>242</v>
      </c>
      <c r="H92" s="8" t="str">
        <f t="shared" si="1"/>
        <v>No</v>
      </c>
      <c r="I92" s="9"/>
      <c r="J92" s="9" t="s">
        <v>33</v>
      </c>
      <c r="K92" s="9" t="s">
        <v>218</v>
      </c>
      <c r="L92" s="9" t="s">
        <v>289</v>
      </c>
      <c r="M92" s="10">
        <v>42264</v>
      </c>
      <c r="N92" s="10"/>
      <c r="O92" s="9">
        <v>610</v>
      </c>
      <c r="P92" s="9">
        <v>82</v>
      </c>
      <c r="Q92" s="9">
        <v>19</v>
      </c>
      <c r="R92" s="9">
        <v>382</v>
      </c>
    </row>
    <row r="93" spans="1:18">
      <c r="A93" s="9" t="s">
        <v>327</v>
      </c>
      <c r="B93" s="10">
        <v>43040</v>
      </c>
      <c r="C93" s="11">
        <v>0.33333333333333331</v>
      </c>
      <c r="D93" s="10">
        <v>43040</v>
      </c>
      <c r="E93" s="11">
        <v>0.75</v>
      </c>
      <c r="F93" s="9" t="s">
        <v>236</v>
      </c>
      <c r="G93" s="9" t="s">
        <v>236</v>
      </c>
      <c r="H93" s="8" t="str">
        <f t="shared" si="1"/>
        <v>No</v>
      </c>
      <c r="I93" s="9">
        <v>11</v>
      </c>
      <c r="J93" s="9" t="s">
        <v>217</v>
      </c>
      <c r="K93" s="9" t="s">
        <v>218</v>
      </c>
      <c r="L93" s="9" t="s">
        <v>309</v>
      </c>
      <c r="M93" s="10">
        <v>42713</v>
      </c>
      <c r="N93" s="10"/>
      <c r="O93" s="9">
        <v>286</v>
      </c>
      <c r="P93" s="9">
        <v>49</v>
      </c>
      <c r="Q93" s="9">
        <v>13.5</v>
      </c>
      <c r="R93" s="9">
        <v>200</v>
      </c>
    </row>
    <row r="94" spans="1:18">
      <c r="A94" s="9" t="s">
        <v>435</v>
      </c>
      <c r="B94" s="10">
        <v>43041</v>
      </c>
      <c r="C94" s="11">
        <v>0.33333333333333331</v>
      </c>
      <c r="D94" s="10">
        <v>43041</v>
      </c>
      <c r="E94" s="11">
        <v>0.79166666666666663</v>
      </c>
      <c r="F94" s="9" t="s">
        <v>222</v>
      </c>
      <c r="G94" s="9" t="s">
        <v>222</v>
      </c>
      <c r="H94" s="8" t="str">
        <f t="shared" si="1"/>
        <v>No</v>
      </c>
      <c r="I94" s="9">
        <v>11</v>
      </c>
      <c r="J94" s="9" t="s">
        <v>33</v>
      </c>
      <c r="K94" s="9" t="s">
        <v>223</v>
      </c>
      <c r="L94" s="9" t="s">
        <v>266</v>
      </c>
      <c r="M94" s="10">
        <v>42410</v>
      </c>
      <c r="N94" s="10"/>
      <c r="O94" s="9">
        <v>709</v>
      </c>
      <c r="P94" s="9">
        <v>94</v>
      </c>
      <c r="Q94" s="9">
        <v>23</v>
      </c>
      <c r="R94" s="9">
        <v>1250</v>
      </c>
    </row>
    <row r="95" spans="1:18">
      <c r="A95" s="9"/>
      <c r="B95" s="10"/>
      <c r="C95" s="11"/>
      <c r="D95" s="10"/>
      <c r="E95" s="11"/>
      <c r="F95" s="9"/>
      <c r="G95" s="9"/>
      <c r="H95" s="9"/>
      <c r="I95" s="9"/>
      <c r="J95" s="9"/>
      <c r="K95" s="9"/>
      <c r="L95" s="9"/>
      <c r="M95" s="10"/>
      <c r="N95" s="10"/>
      <c r="O95" s="9"/>
      <c r="P95" s="9"/>
      <c r="Q95" s="9"/>
      <c r="R95" s="9"/>
    </row>
    <row r="96" spans="1:18">
      <c r="A96" s="9" t="s">
        <v>380</v>
      </c>
      <c r="B96" s="10">
        <v>42886</v>
      </c>
      <c r="C96" s="11">
        <v>0</v>
      </c>
      <c r="D96" s="10">
        <v>42886</v>
      </c>
      <c r="E96" s="11">
        <v>0.5</v>
      </c>
      <c r="F96" s="9" t="s">
        <v>236</v>
      </c>
      <c r="G96" s="9"/>
      <c r="H96" s="9"/>
      <c r="J96" s="9" t="s">
        <v>217</v>
      </c>
    </row>
    <row r="97" spans="1:10">
      <c r="A97" s="9" t="s">
        <v>380</v>
      </c>
      <c r="B97" s="10">
        <v>42888</v>
      </c>
      <c r="C97" s="11">
        <v>0.5625</v>
      </c>
      <c r="D97" s="10">
        <v>42888</v>
      </c>
      <c r="E97" s="11">
        <v>0.64583333333333337</v>
      </c>
      <c r="F97" s="9" t="s">
        <v>238</v>
      </c>
      <c r="J97" s="9" t="s">
        <v>217</v>
      </c>
    </row>
    <row r="98" spans="1:10">
      <c r="A98" s="9" t="s">
        <v>380</v>
      </c>
      <c r="B98" s="10">
        <v>42889</v>
      </c>
      <c r="C98" s="11">
        <v>0.5625</v>
      </c>
      <c r="D98" s="10">
        <v>42889</v>
      </c>
      <c r="E98" s="11">
        <v>0.64583333333333337</v>
      </c>
      <c r="F98" s="9" t="s">
        <v>216</v>
      </c>
      <c r="J98" s="9" t="s">
        <v>217</v>
      </c>
    </row>
    <row r="99" spans="1:10">
      <c r="A99" s="9" t="s">
        <v>380</v>
      </c>
      <c r="B99" s="10">
        <v>42890</v>
      </c>
      <c r="C99" s="11">
        <v>0.5625</v>
      </c>
      <c r="D99" s="10">
        <v>42890</v>
      </c>
      <c r="E99" s="11">
        <v>0.64583333333333337</v>
      </c>
      <c r="F99" s="9" t="s">
        <v>227</v>
      </c>
      <c r="J99" s="9" t="s">
        <v>217</v>
      </c>
    </row>
    <row r="100" spans="1:10">
      <c r="A100" s="9" t="s">
        <v>380</v>
      </c>
      <c r="B100" s="10">
        <v>42891</v>
      </c>
      <c r="C100" s="11">
        <v>0.5625</v>
      </c>
      <c r="D100" s="10">
        <v>42891</v>
      </c>
      <c r="E100" s="11">
        <v>0.64583333333333337</v>
      </c>
      <c r="F100" s="9" t="s">
        <v>242</v>
      </c>
      <c r="J100" s="9" t="s">
        <v>217</v>
      </c>
    </row>
    <row r="101" spans="1:10">
      <c r="A101" s="9" t="s">
        <v>380</v>
      </c>
      <c r="B101" s="10">
        <v>42893</v>
      </c>
      <c r="C101" s="11">
        <v>0.5625</v>
      </c>
      <c r="D101" s="10">
        <v>42893</v>
      </c>
      <c r="E101" s="11">
        <v>0.64583333333333337</v>
      </c>
      <c r="F101" s="9" t="s">
        <v>236</v>
      </c>
      <c r="G101" s="9" t="s">
        <v>217</v>
      </c>
    </row>
    <row r="102" spans="1:10">
      <c r="A102" s="9"/>
      <c r="B102" s="10"/>
      <c r="C102" s="11"/>
      <c r="D102" s="10"/>
      <c r="E102" s="11"/>
      <c r="F102" s="9"/>
      <c r="J102" s="9"/>
    </row>
    <row r="103" spans="1:10">
      <c r="A103" s="9" t="s">
        <v>380</v>
      </c>
      <c r="B103" s="10">
        <v>42895</v>
      </c>
      <c r="C103" s="11">
        <v>0.5625</v>
      </c>
      <c r="D103" s="10">
        <v>42895</v>
      </c>
      <c r="E103" s="11">
        <v>0.64583333333333337</v>
      </c>
      <c r="F103" s="9" t="s">
        <v>238</v>
      </c>
      <c r="J103" s="9" t="s">
        <v>217</v>
      </c>
    </row>
    <row r="104" spans="1:10">
      <c r="A104" s="9" t="s">
        <v>380</v>
      </c>
      <c r="B104" s="10">
        <v>42896</v>
      </c>
      <c r="C104" s="11">
        <v>0.5625</v>
      </c>
      <c r="D104" s="10">
        <v>42896</v>
      </c>
      <c r="E104" s="11">
        <v>0.64583333333333337</v>
      </c>
      <c r="F104" s="9" t="s">
        <v>216</v>
      </c>
      <c r="J104" s="9" t="s">
        <v>217</v>
      </c>
    </row>
    <row r="105" spans="1:10">
      <c r="A105" s="9" t="s">
        <v>380</v>
      </c>
      <c r="B105" s="10">
        <v>42897</v>
      </c>
      <c r="C105" s="11">
        <v>0.5625</v>
      </c>
      <c r="D105" s="10">
        <v>42897</v>
      </c>
      <c r="E105" s="11">
        <v>0.64583333333333337</v>
      </c>
      <c r="F105" s="9" t="s">
        <v>227</v>
      </c>
      <c r="J105" s="9" t="s">
        <v>217</v>
      </c>
    </row>
    <row r="106" spans="1:10">
      <c r="A106" s="9" t="s">
        <v>380</v>
      </c>
      <c r="B106" s="10">
        <v>42898</v>
      </c>
      <c r="C106" s="11">
        <v>0.5625</v>
      </c>
      <c r="D106" s="10">
        <v>42898</v>
      </c>
      <c r="E106" s="11">
        <v>0.64583333333333337</v>
      </c>
      <c r="F106" s="9" t="s">
        <v>242</v>
      </c>
      <c r="J106" s="9" t="s">
        <v>217</v>
      </c>
    </row>
    <row r="107" spans="1:10">
      <c r="A107" s="9" t="s">
        <v>380</v>
      </c>
      <c r="B107" s="10">
        <v>42900</v>
      </c>
      <c r="C107" s="11">
        <v>0.5625</v>
      </c>
      <c r="D107" s="10">
        <v>42900</v>
      </c>
      <c r="E107" s="11">
        <v>0.64583333333333337</v>
      </c>
      <c r="F107" s="9" t="s">
        <v>236</v>
      </c>
      <c r="J107" s="9" t="s">
        <v>217</v>
      </c>
    </row>
    <row r="108" spans="1:10">
      <c r="A108" s="9" t="s">
        <v>380</v>
      </c>
      <c r="B108" s="10">
        <v>42902</v>
      </c>
      <c r="C108" s="11">
        <v>0.5625</v>
      </c>
      <c r="D108" s="10">
        <v>42902</v>
      </c>
      <c r="E108" s="11">
        <v>0.64583333333333337</v>
      </c>
      <c r="F108" s="9" t="s">
        <v>238</v>
      </c>
      <c r="J108" s="9" t="s">
        <v>217</v>
      </c>
    </row>
    <row r="109" spans="1:10">
      <c r="A109" s="9" t="s">
        <v>380</v>
      </c>
      <c r="B109" s="10">
        <v>42903</v>
      </c>
      <c r="C109" s="11">
        <v>0.5625</v>
      </c>
      <c r="D109" s="10">
        <v>42903</v>
      </c>
      <c r="E109" s="11">
        <v>0.64583333333333337</v>
      </c>
      <c r="F109" s="9" t="s">
        <v>216</v>
      </c>
      <c r="J109" s="9" t="s">
        <v>217</v>
      </c>
    </row>
    <row r="110" spans="1:10">
      <c r="A110" s="9" t="s">
        <v>380</v>
      </c>
      <c r="B110" s="10">
        <v>42904</v>
      </c>
      <c r="C110" s="11">
        <v>0.5625</v>
      </c>
      <c r="D110" s="10">
        <v>42904</v>
      </c>
      <c r="E110" s="11">
        <v>0.64583333333333337</v>
      </c>
      <c r="F110" s="9" t="s">
        <v>227</v>
      </c>
      <c r="J110" s="9" t="s">
        <v>217</v>
      </c>
    </row>
    <row r="111" spans="1:10">
      <c r="A111" s="9" t="s">
        <v>380</v>
      </c>
      <c r="B111" s="10">
        <v>42905</v>
      </c>
      <c r="C111" s="11">
        <v>0.5625</v>
      </c>
      <c r="D111" s="10">
        <v>42905</v>
      </c>
      <c r="E111" s="11">
        <v>0.64583333333333337</v>
      </c>
      <c r="F111" s="9" t="s">
        <v>242</v>
      </c>
      <c r="J111" s="9" t="s">
        <v>217</v>
      </c>
    </row>
    <row r="112" spans="1:10">
      <c r="A112" s="9" t="s">
        <v>380</v>
      </c>
      <c r="B112" s="10">
        <v>42907</v>
      </c>
      <c r="C112" s="11">
        <v>0.5625</v>
      </c>
      <c r="D112" s="10">
        <v>42907</v>
      </c>
      <c r="E112" s="11">
        <v>0.64583333333333337</v>
      </c>
      <c r="F112" s="9" t="s">
        <v>236</v>
      </c>
      <c r="J112" s="9" t="s">
        <v>217</v>
      </c>
    </row>
    <row r="113" spans="1:10">
      <c r="A113" s="9" t="s">
        <v>380</v>
      </c>
      <c r="B113" s="10">
        <v>42910</v>
      </c>
      <c r="C113" s="11">
        <v>0.5625</v>
      </c>
      <c r="D113" s="10">
        <v>42910</v>
      </c>
      <c r="E113" s="11">
        <v>0.64583333333333337</v>
      </c>
      <c r="F113" s="9" t="s">
        <v>216</v>
      </c>
    </row>
    <row r="114" spans="1:10">
      <c r="A114" s="9" t="s">
        <v>380</v>
      </c>
      <c r="B114" s="10">
        <v>42911</v>
      </c>
      <c r="C114" s="11">
        <v>0.5625</v>
      </c>
      <c r="D114" s="10">
        <v>42911</v>
      </c>
      <c r="E114" s="11">
        <v>0.64583333333333337</v>
      </c>
      <c r="F114" s="9" t="s">
        <v>227</v>
      </c>
      <c r="J114" s="9" t="s">
        <v>217</v>
      </c>
    </row>
    <row r="115" spans="1:10">
      <c r="A115" s="9" t="s">
        <v>380</v>
      </c>
      <c r="B115" s="10">
        <v>42912</v>
      </c>
      <c r="C115" s="11">
        <v>0.5625</v>
      </c>
      <c r="D115" s="10">
        <v>42912</v>
      </c>
      <c r="E115" s="11">
        <v>0.64583333333333337</v>
      </c>
      <c r="F115" s="9" t="s">
        <v>242</v>
      </c>
      <c r="J115" s="9" t="s">
        <v>217</v>
      </c>
    </row>
    <row r="116" spans="1:10">
      <c r="A116" s="9" t="s">
        <v>380</v>
      </c>
      <c r="B116" s="10">
        <v>42914</v>
      </c>
      <c r="C116" s="11">
        <v>0.5625</v>
      </c>
      <c r="D116" s="10">
        <v>42914</v>
      </c>
      <c r="E116" s="11">
        <v>0.64583333333333337</v>
      </c>
      <c r="F116" s="9" t="s">
        <v>236</v>
      </c>
      <c r="J116" s="9" t="s">
        <v>217</v>
      </c>
    </row>
    <row r="117" spans="1:10">
      <c r="A117" s="9" t="s">
        <v>380</v>
      </c>
      <c r="B117" s="10">
        <v>42915</v>
      </c>
      <c r="C117" s="11">
        <v>0.5625</v>
      </c>
      <c r="D117" s="10">
        <v>42915</v>
      </c>
      <c r="E117" s="11">
        <v>0.64583333333333337</v>
      </c>
      <c r="F117" s="9" t="s">
        <v>222</v>
      </c>
      <c r="J117" s="9" t="s">
        <v>217</v>
      </c>
    </row>
    <row r="118" spans="1:10">
      <c r="A118" s="9" t="s">
        <v>380</v>
      </c>
      <c r="B118" s="10">
        <v>42916</v>
      </c>
      <c r="C118" s="11">
        <v>0.5625</v>
      </c>
      <c r="D118" s="10">
        <v>42916</v>
      </c>
      <c r="E118" s="11">
        <v>0.64583333333333337</v>
      </c>
      <c r="F118" s="9" t="s">
        <v>238</v>
      </c>
      <c r="J118" s="9" t="s">
        <v>217</v>
      </c>
    </row>
    <row r="119" spans="1:10">
      <c r="A119" s="9" t="s">
        <v>380</v>
      </c>
      <c r="B119" s="10">
        <v>42917</v>
      </c>
      <c r="C119" s="11">
        <v>0.5625</v>
      </c>
      <c r="D119" s="10">
        <v>42917</v>
      </c>
      <c r="E119" s="11">
        <v>0.64583333333333337</v>
      </c>
      <c r="F119" s="9" t="s">
        <v>216</v>
      </c>
      <c r="J119" s="9" t="s">
        <v>217</v>
      </c>
    </row>
    <row r="120" spans="1:10">
      <c r="A120" s="9" t="s">
        <v>380</v>
      </c>
      <c r="B120" s="10">
        <v>42918</v>
      </c>
      <c r="C120" s="11">
        <v>0.5625</v>
      </c>
      <c r="D120" s="10">
        <v>42918</v>
      </c>
      <c r="E120" s="11">
        <v>0.64583333333333337</v>
      </c>
      <c r="F120" s="9" t="s">
        <v>227</v>
      </c>
      <c r="J120" s="9" t="s">
        <v>217</v>
      </c>
    </row>
    <row r="121" spans="1:10">
      <c r="A121" s="9" t="s">
        <v>380</v>
      </c>
      <c r="B121" s="10">
        <v>42919</v>
      </c>
      <c r="C121" s="11">
        <v>0.5625</v>
      </c>
      <c r="D121" s="10">
        <v>42919</v>
      </c>
      <c r="E121" s="11">
        <v>0.64583333333333337</v>
      </c>
      <c r="F121" s="9" t="s">
        <v>242</v>
      </c>
      <c r="J121" s="9" t="s">
        <v>217</v>
      </c>
    </row>
    <row r="122" spans="1:10">
      <c r="A122" s="9" t="s">
        <v>380</v>
      </c>
      <c r="B122" s="10">
        <v>42920</v>
      </c>
      <c r="C122" s="11">
        <v>0.5625</v>
      </c>
      <c r="D122" s="10">
        <v>42920</v>
      </c>
      <c r="E122" s="11">
        <v>0.64583333333333337</v>
      </c>
      <c r="F122" s="9" t="s">
        <v>235</v>
      </c>
      <c r="J122" s="9" t="s">
        <v>217</v>
      </c>
    </row>
    <row r="123" spans="1:10">
      <c r="A123" s="9" t="s">
        <v>380</v>
      </c>
      <c r="B123" s="10">
        <v>42922</v>
      </c>
      <c r="C123" s="11">
        <v>0.5625</v>
      </c>
      <c r="D123" s="10">
        <v>42922</v>
      </c>
      <c r="E123" s="11">
        <v>0.64583333333333337</v>
      </c>
      <c r="F123" s="9" t="s">
        <v>222</v>
      </c>
      <c r="J123" s="9" t="s">
        <v>217</v>
      </c>
    </row>
    <row r="124" spans="1:10">
      <c r="A124" s="9" t="s">
        <v>380</v>
      </c>
      <c r="B124" s="10">
        <v>42923</v>
      </c>
      <c r="C124" s="11">
        <v>0.5625</v>
      </c>
      <c r="D124" s="10">
        <v>42923</v>
      </c>
      <c r="E124" s="11">
        <v>0.64583333333333337</v>
      </c>
      <c r="F124" s="9" t="s">
        <v>238</v>
      </c>
      <c r="J124" s="9" t="s">
        <v>217</v>
      </c>
    </row>
    <row r="125" spans="1:10">
      <c r="A125" s="9" t="s">
        <v>380</v>
      </c>
      <c r="B125" s="10">
        <v>42924</v>
      </c>
      <c r="C125" s="11">
        <v>0.5625</v>
      </c>
      <c r="D125" s="10">
        <v>42924</v>
      </c>
      <c r="E125" s="11">
        <v>0.64583333333333337</v>
      </c>
      <c r="F125" s="9" t="s">
        <v>216</v>
      </c>
      <c r="J125" s="9" t="s">
        <v>217</v>
      </c>
    </row>
    <row r="126" spans="1:10">
      <c r="A126" s="9" t="s">
        <v>380</v>
      </c>
      <c r="B126" s="10">
        <v>42925</v>
      </c>
      <c r="C126" s="11">
        <v>0.5625</v>
      </c>
      <c r="D126" s="10">
        <v>42925</v>
      </c>
      <c r="E126" s="11">
        <v>0.64583333333333337</v>
      </c>
      <c r="F126" s="9" t="s">
        <v>227</v>
      </c>
      <c r="J126" s="9" t="s">
        <v>217</v>
      </c>
    </row>
    <row r="127" spans="1:10">
      <c r="A127" s="9" t="s">
        <v>380</v>
      </c>
      <c r="B127" s="10">
        <v>42926</v>
      </c>
      <c r="C127" s="11">
        <v>0.5625</v>
      </c>
      <c r="D127" s="10">
        <v>42926</v>
      </c>
      <c r="E127" s="11">
        <v>0.64583333333333337</v>
      </c>
      <c r="F127" s="9" t="s">
        <v>242</v>
      </c>
      <c r="J127" s="9" t="s">
        <v>217</v>
      </c>
    </row>
    <row r="128" spans="1:10">
      <c r="A128" s="9" t="s">
        <v>380</v>
      </c>
      <c r="B128" s="10">
        <v>42927</v>
      </c>
      <c r="C128" s="11">
        <v>0.5625</v>
      </c>
      <c r="D128" s="10">
        <v>42927</v>
      </c>
      <c r="E128" s="11">
        <v>0.64583333333333337</v>
      </c>
      <c r="F128" s="9" t="s">
        <v>235</v>
      </c>
      <c r="J128" s="9" t="s">
        <v>217</v>
      </c>
    </row>
    <row r="129" spans="1:10">
      <c r="A129" s="9" t="s">
        <v>380</v>
      </c>
      <c r="B129" s="10">
        <v>42929</v>
      </c>
      <c r="C129" s="11">
        <v>0.5625</v>
      </c>
      <c r="D129" s="10">
        <v>42929</v>
      </c>
      <c r="E129" s="11">
        <v>0.64583333333333337</v>
      </c>
      <c r="F129" s="9" t="s">
        <v>222</v>
      </c>
      <c r="J129" s="9" t="s">
        <v>217</v>
      </c>
    </row>
    <row r="130" spans="1:10">
      <c r="A130" s="9" t="s">
        <v>380</v>
      </c>
      <c r="B130" s="10">
        <v>42930</v>
      </c>
      <c r="C130" s="11">
        <v>0.5625</v>
      </c>
      <c r="D130" s="10">
        <v>42930</v>
      </c>
      <c r="E130" s="11">
        <v>0.64583333333333337</v>
      </c>
      <c r="F130" s="9" t="s">
        <v>238</v>
      </c>
      <c r="J130" s="9" t="s">
        <v>217</v>
      </c>
    </row>
    <row r="131" spans="1:10">
      <c r="A131" s="9" t="s">
        <v>380</v>
      </c>
      <c r="B131" s="10">
        <v>42931</v>
      </c>
      <c r="C131" s="11">
        <v>0.5625</v>
      </c>
      <c r="D131" s="10">
        <v>42931</v>
      </c>
      <c r="E131" s="11">
        <v>0.64583333333333337</v>
      </c>
      <c r="F131" s="9" t="s">
        <v>216</v>
      </c>
      <c r="J131" s="9" t="s">
        <v>217</v>
      </c>
    </row>
    <row r="132" spans="1:10">
      <c r="A132" s="9" t="s">
        <v>380</v>
      </c>
      <c r="B132" s="10">
        <v>42932</v>
      </c>
      <c r="C132" s="11">
        <v>0.5625</v>
      </c>
      <c r="D132" s="10">
        <v>42932</v>
      </c>
      <c r="E132" s="11">
        <v>0.64583333333333337</v>
      </c>
      <c r="F132" s="9" t="s">
        <v>227</v>
      </c>
      <c r="J132" s="9" t="s">
        <v>217</v>
      </c>
    </row>
    <row r="133" spans="1:10">
      <c r="A133" s="9" t="s">
        <v>380</v>
      </c>
      <c r="B133" s="10">
        <v>42933</v>
      </c>
      <c r="C133" s="11">
        <v>0.5625</v>
      </c>
      <c r="D133" s="10">
        <v>42933</v>
      </c>
      <c r="E133" s="11">
        <v>0.64583333333333337</v>
      </c>
      <c r="F133" s="9" t="s">
        <v>242</v>
      </c>
      <c r="J133" s="9" t="s">
        <v>217</v>
      </c>
    </row>
    <row r="134" spans="1:10">
      <c r="A134" s="9" t="s">
        <v>380</v>
      </c>
      <c r="B134" s="10">
        <v>42934</v>
      </c>
      <c r="C134" s="11">
        <v>0.5625</v>
      </c>
      <c r="D134" s="10">
        <v>42934</v>
      </c>
      <c r="E134" s="11">
        <v>0.64583333333333337</v>
      </c>
      <c r="F134" s="11"/>
      <c r="J134" s="9" t="s">
        <v>217</v>
      </c>
    </row>
    <row r="135" spans="1:10">
      <c r="A135" s="9" t="s">
        <v>380</v>
      </c>
      <c r="B135" s="10">
        <v>42936</v>
      </c>
      <c r="C135" s="11">
        <v>0.5625</v>
      </c>
      <c r="D135" s="10">
        <v>42936</v>
      </c>
      <c r="E135" s="11">
        <v>0.64583333333333337</v>
      </c>
      <c r="F135" s="11"/>
      <c r="J135" s="9" t="s">
        <v>217</v>
      </c>
    </row>
    <row r="136" spans="1:10">
      <c r="A136" s="9" t="s">
        <v>380</v>
      </c>
      <c r="B136" s="10">
        <v>42937</v>
      </c>
      <c r="C136" s="11">
        <v>0.5625</v>
      </c>
      <c r="D136" s="10">
        <v>42937</v>
      </c>
      <c r="E136" s="11">
        <v>0.64583333333333337</v>
      </c>
      <c r="F136" s="11"/>
      <c r="J136" s="9" t="s">
        <v>217</v>
      </c>
    </row>
    <row r="137" spans="1:10">
      <c r="A137" s="9" t="s">
        <v>380</v>
      </c>
      <c r="B137" s="10">
        <v>42938</v>
      </c>
      <c r="C137" s="11">
        <v>0.5625</v>
      </c>
      <c r="D137" s="10">
        <v>42938</v>
      </c>
      <c r="E137" s="11">
        <v>0.64583333333333337</v>
      </c>
      <c r="F137" s="11"/>
      <c r="J137" s="9" t="s">
        <v>217</v>
      </c>
    </row>
    <row r="138" spans="1:10">
      <c r="A138" s="9" t="s">
        <v>380</v>
      </c>
      <c r="B138" s="10">
        <v>42939</v>
      </c>
      <c r="C138" s="11">
        <v>0.5625</v>
      </c>
      <c r="D138" s="10">
        <v>42939</v>
      </c>
      <c r="E138" s="11">
        <v>0.64583333333333337</v>
      </c>
      <c r="F138" s="11"/>
      <c r="J138" s="9" t="s">
        <v>217</v>
      </c>
    </row>
    <row r="139" spans="1:10">
      <c r="A139" s="9" t="s">
        <v>380</v>
      </c>
      <c r="B139" s="10">
        <v>42940</v>
      </c>
      <c r="C139" s="11">
        <v>0.5625</v>
      </c>
      <c r="D139" s="10">
        <v>42940</v>
      </c>
      <c r="E139" s="11">
        <v>0.64583333333333337</v>
      </c>
      <c r="F139" s="11"/>
      <c r="J139" s="9" t="s">
        <v>217</v>
      </c>
    </row>
    <row r="140" spans="1:10">
      <c r="A140" s="9" t="s">
        <v>380</v>
      </c>
      <c r="B140" s="10">
        <v>42941</v>
      </c>
      <c r="C140" s="11">
        <v>0.5625</v>
      </c>
      <c r="D140" s="10">
        <v>42941</v>
      </c>
      <c r="E140" s="11">
        <v>0.64583333333333337</v>
      </c>
      <c r="F140" s="11"/>
      <c r="J140" s="9" t="s">
        <v>217</v>
      </c>
    </row>
    <row r="141" spans="1:10">
      <c r="A141" s="9" t="s">
        <v>380</v>
      </c>
      <c r="B141" s="10">
        <v>42943</v>
      </c>
      <c r="C141" s="11">
        <v>0.5625</v>
      </c>
      <c r="D141" s="10">
        <v>42943</v>
      </c>
      <c r="E141" s="11">
        <v>0.64583333333333337</v>
      </c>
      <c r="F141" s="11"/>
      <c r="J141" s="9" t="s">
        <v>217</v>
      </c>
    </row>
    <row r="142" spans="1:10">
      <c r="A142" s="9" t="s">
        <v>380</v>
      </c>
      <c r="B142" s="10">
        <v>42944</v>
      </c>
      <c r="C142" s="11">
        <v>0.5625</v>
      </c>
      <c r="D142" s="10">
        <v>42944</v>
      </c>
      <c r="E142" s="11">
        <v>0.64583333333333337</v>
      </c>
      <c r="F142" s="11"/>
      <c r="J142" s="9" t="s">
        <v>217</v>
      </c>
    </row>
    <row r="143" spans="1:10">
      <c r="A143" s="9" t="s">
        <v>380</v>
      </c>
      <c r="B143" s="10">
        <v>42945</v>
      </c>
      <c r="C143" s="11">
        <v>0.5625</v>
      </c>
      <c r="D143" s="10">
        <v>42945</v>
      </c>
      <c r="E143" s="11">
        <v>0.64583333333333337</v>
      </c>
      <c r="F143" s="11"/>
      <c r="J143" s="9" t="s">
        <v>217</v>
      </c>
    </row>
    <row r="144" spans="1:10">
      <c r="A144" s="9" t="s">
        <v>380</v>
      </c>
      <c r="B144" s="10">
        <v>42946</v>
      </c>
      <c r="C144" s="11">
        <v>0.5625</v>
      </c>
      <c r="D144" s="10">
        <v>42946</v>
      </c>
      <c r="E144" s="11">
        <v>0.64583333333333337</v>
      </c>
      <c r="F144" s="11"/>
      <c r="J144" s="9" t="s">
        <v>217</v>
      </c>
    </row>
    <row r="145" spans="1:10">
      <c r="A145" s="9" t="s">
        <v>380</v>
      </c>
      <c r="B145" s="10">
        <v>42947</v>
      </c>
      <c r="C145" s="11">
        <v>0.5625</v>
      </c>
      <c r="D145" s="10">
        <v>42947</v>
      </c>
      <c r="E145" s="11">
        <v>0.64583333333333337</v>
      </c>
      <c r="F145" s="11"/>
      <c r="J145" s="9" t="s">
        <v>217</v>
      </c>
    </row>
    <row r="146" spans="1:10">
      <c r="A146" s="9" t="s">
        <v>380</v>
      </c>
      <c r="B146" s="10">
        <v>42948</v>
      </c>
      <c r="C146" s="11">
        <v>0.5625</v>
      </c>
      <c r="D146" s="10">
        <v>42948</v>
      </c>
      <c r="E146" s="11">
        <v>0.64583333333333337</v>
      </c>
      <c r="F146" s="11"/>
      <c r="J146" s="9" t="s">
        <v>217</v>
      </c>
    </row>
    <row r="147" spans="1:10">
      <c r="A147" s="9" t="s">
        <v>380</v>
      </c>
      <c r="B147" s="10">
        <v>42949</v>
      </c>
      <c r="C147" s="11">
        <v>0.5625</v>
      </c>
      <c r="D147" s="10">
        <v>42949</v>
      </c>
      <c r="E147" s="11">
        <v>0.64583333333333337</v>
      </c>
      <c r="F147" s="11"/>
      <c r="J147" s="9" t="s">
        <v>217</v>
      </c>
    </row>
    <row r="148" spans="1:10">
      <c r="A148" s="9" t="s">
        <v>380</v>
      </c>
      <c r="B148" s="10">
        <v>42950</v>
      </c>
      <c r="C148" s="11">
        <v>0.5625</v>
      </c>
      <c r="D148" s="10">
        <v>42950</v>
      </c>
      <c r="E148" s="11">
        <v>0.64583333333333337</v>
      </c>
      <c r="F148" s="11"/>
      <c r="J148" s="9" t="s">
        <v>217</v>
      </c>
    </row>
    <row r="149" spans="1:10">
      <c r="A149" s="9" t="s">
        <v>380</v>
      </c>
      <c r="B149" s="10">
        <v>42951</v>
      </c>
      <c r="C149" s="11">
        <v>0.5625</v>
      </c>
      <c r="D149" s="10">
        <v>42951</v>
      </c>
      <c r="E149" s="11">
        <v>0.64583333333333337</v>
      </c>
      <c r="F149" s="11"/>
      <c r="J149" s="9" t="s">
        <v>217</v>
      </c>
    </row>
    <row r="150" spans="1:10">
      <c r="A150" s="9" t="s">
        <v>380</v>
      </c>
      <c r="B150" s="10">
        <v>42952</v>
      </c>
      <c r="C150" s="11">
        <v>0.5625</v>
      </c>
      <c r="D150" s="10">
        <v>42952</v>
      </c>
      <c r="E150" s="11">
        <v>0.64583333333333337</v>
      </c>
      <c r="F150" s="11"/>
      <c r="J150" s="9" t="s">
        <v>217</v>
      </c>
    </row>
    <row r="151" spans="1:10">
      <c r="A151" s="9" t="s">
        <v>380</v>
      </c>
      <c r="B151" s="10">
        <v>42953</v>
      </c>
      <c r="C151" s="11">
        <v>0.5625</v>
      </c>
      <c r="D151" s="10">
        <v>42953</v>
      </c>
      <c r="E151" s="11">
        <v>0.64583333333333337</v>
      </c>
      <c r="F151" s="11"/>
      <c r="J151" s="9" t="s">
        <v>217</v>
      </c>
    </row>
    <row r="152" spans="1:10">
      <c r="A152" s="9" t="s">
        <v>380</v>
      </c>
      <c r="B152" s="10">
        <v>42954</v>
      </c>
      <c r="C152" s="11">
        <v>0.5625</v>
      </c>
      <c r="D152" s="10">
        <v>42954</v>
      </c>
      <c r="E152" s="11">
        <v>0.64583333333333337</v>
      </c>
      <c r="F152" s="11"/>
      <c r="J152" s="9" t="s">
        <v>217</v>
      </c>
    </row>
    <row r="153" spans="1:10">
      <c r="A153" s="9" t="s">
        <v>380</v>
      </c>
      <c r="B153" s="10">
        <v>42955</v>
      </c>
      <c r="C153" s="11">
        <v>0.5625</v>
      </c>
      <c r="D153" s="10">
        <v>42955</v>
      </c>
      <c r="E153" s="11">
        <v>0.64583333333333337</v>
      </c>
      <c r="F153" s="11"/>
      <c r="J153" s="9" t="s">
        <v>217</v>
      </c>
    </row>
    <row r="154" spans="1:10">
      <c r="A154" s="9" t="s">
        <v>380</v>
      </c>
      <c r="B154" s="10">
        <v>42956</v>
      </c>
      <c r="C154" s="11">
        <v>0.5625</v>
      </c>
      <c r="D154" s="10">
        <v>42956</v>
      </c>
      <c r="E154" s="11">
        <v>0.64583333333333337</v>
      </c>
      <c r="F154" s="11"/>
      <c r="J154" s="9" t="s">
        <v>217</v>
      </c>
    </row>
    <row r="155" spans="1:10">
      <c r="A155" s="9" t="s">
        <v>380</v>
      </c>
      <c r="B155" s="10">
        <v>42957</v>
      </c>
      <c r="C155" s="11">
        <v>0.5625</v>
      </c>
      <c r="D155" s="10">
        <v>42957</v>
      </c>
      <c r="E155" s="11">
        <v>0.64583333333333337</v>
      </c>
      <c r="F155" s="11"/>
      <c r="J155" s="9" t="s">
        <v>217</v>
      </c>
    </row>
    <row r="156" spans="1:10">
      <c r="A156" s="9" t="s">
        <v>380</v>
      </c>
      <c r="B156" s="10">
        <v>42958</v>
      </c>
      <c r="C156" s="11">
        <v>0.5625</v>
      </c>
      <c r="D156" s="10">
        <v>42958</v>
      </c>
      <c r="E156" s="11">
        <v>0.64583333333333337</v>
      </c>
      <c r="F156" s="11"/>
      <c r="J156" s="9" t="s">
        <v>217</v>
      </c>
    </row>
    <row r="157" spans="1:10">
      <c r="A157" s="9" t="s">
        <v>380</v>
      </c>
      <c r="B157" s="10">
        <v>42959</v>
      </c>
      <c r="C157" s="11">
        <v>0.5625</v>
      </c>
      <c r="D157" s="10">
        <v>42959</v>
      </c>
      <c r="E157" s="11">
        <v>0.64583333333333337</v>
      </c>
      <c r="F157" s="11"/>
      <c r="J157" s="9" t="s">
        <v>217</v>
      </c>
    </row>
    <row r="158" spans="1:10">
      <c r="A158" s="9" t="s">
        <v>380</v>
      </c>
      <c r="B158" s="10">
        <v>42961</v>
      </c>
      <c r="C158" s="11">
        <v>0.5625</v>
      </c>
      <c r="D158" s="10">
        <v>42961</v>
      </c>
      <c r="E158" s="11">
        <v>0.64583333333333337</v>
      </c>
      <c r="F158" s="11"/>
      <c r="J158" s="9" t="s">
        <v>217</v>
      </c>
    </row>
    <row r="159" spans="1:10">
      <c r="A159" s="9" t="s">
        <v>380</v>
      </c>
      <c r="B159" s="10">
        <v>42962</v>
      </c>
      <c r="C159" s="11">
        <v>0.5625</v>
      </c>
      <c r="D159" s="10">
        <v>42962</v>
      </c>
      <c r="E159" s="11">
        <v>0.64583333333333337</v>
      </c>
      <c r="F159" s="11"/>
      <c r="J159" s="9" t="s">
        <v>217</v>
      </c>
    </row>
    <row r="160" spans="1:10">
      <c r="A160" s="9" t="s">
        <v>380</v>
      </c>
      <c r="B160" s="10">
        <v>42963</v>
      </c>
      <c r="C160" s="11">
        <v>0.5625</v>
      </c>
      <c r="D160" s="10">
        <v>42963</v>
      </c>
      <c r="E160" s="11">
        <v>0.64583333333333337</v>
      </c>
      <c r="F160" s="11"/>
      <c r="J160" s="9" t="s">
        <v>217</v>
      </c>
    </row>
    <row r="161" spans="1:10">
      <c r="A161" s="9" t="s">
        <v>380</v>
      </c>
      <c r="B161" s="10">
        <v>42964</v>
      </c>
      <c r="C161" s="11">
        <v>0.5625</v>
      </c>
      <c r="D161" s="10">
        <v>42964</v>
      </c>
      <c r="E161" s="11">
        <v>0.64583333333333337</v>
      </c>
      <c r="F161" s="11"/>
      <c r="J161" s="9" t="s">
        <v>217</v>
      </c>
    </row>
    <row r="162" spans="1:10">
      <c r="A162" s="9" t="s">
        <v>380</v>
      </c>
      <c r="B162" s="10">
        <v>42965</v>
      </c>
      <c r="C162" s="11">
        <v>0.5625</v>
      </c>
      <c r="D162" s="10">
        <v>42965</v>
      </c>
      <c r="E162" s="11">
        <v>0.64583333333333337</v>
      </c>
      <c r="F162" s="11"/>
      <c r="J162" s="9" t="s">
        <v>217</v>
      </c>
    </row>
    <row r="163" spans="1:10">
      <c r="A163" s="9" t="s">
        <v>380</v>
      </c>
      <c r="B163" s="10">
        <v>42966</v>
      </c>
      <c r="C163" s="11">
        <v>0.5625</v>
      </c>
      <c r="D163" s="10">
        <v>42966</v>
      </c>
      <c r="E163" s="11">
        <v>0.64583333333333337</v>
      </c>
      <c r="F163" s="11"/>
      <c r="J163" s="9" t="s">
        <v>217</v>
      </c>
    </row>
    <row r="164" spans="1:10">
      <c r="A164" s="9" t="s">
        <v>380</v>
      </c>
      <c r="B164" s="10">
        <v>42967</v>
      </c>
      <c r="C164" s="11">
        <v>0.5625</v>
      </c>
      <c r="D164" s="10">
        <v>42967</v>
      </c>
      <c r="E164" s="11">
        <v>0.64583333333333337</v>
      </c>
      <c r="F164" s="11"/>
      <c r="J164" s="9" t="s">
        <v>217</v>
      </c>
    </row>
    <row r="165" spans="1:10">
      <c r="A165" s="9" t="s">
        <v>380</v>
      </c>
      <c r="B165" s="10">
        <v>42968</v>
      </c>
      <c r="C165" s="11">
        <v>0.5625</v>
      </c>
      <c r="D165" s="10">
        <v>42968</v>
      </c>
      <c r="E165" s="11">
        <v>0.64583333333333337</v>
      </c>
      <c r="F165" s="11"/>
      <c r="J165" s="9" t="s">
        <v>217</v>
      </c>
    </row>
    <row r="166" spans="1:10">
      <c r="A166" s="9" t="s">
        <v>380</v>
      </c>
      <c r="B166" s="10">
        <v>42969</v>
      </c>
      <c r="C166" s="11">
        <v>0.5625</v>
      </c>
      <c r="D166" s="10">
        <v>42969</v>
      </c>
      <c r="E166" s="11">
        <v>0.64583333333333337</v>
      </c>
      <c r="F166" s="11"/>
      <c r="J166" s="9" t="s">
        <v>217</v>
      </c>
    </row>
    <row r="167" spans="1:10">
      <c r="A167" s="9" t="s">
        <v>380</v>
      </c>
      <c r="B167" s="10">
        <v>42970</v>
      </c>
      <c r="C167" s="11">
        <v>0.5625</v>
      </c>
      <c r="D167" s="10">
        <v>42970</v>
      </c>
      <c r="E167" s="11">
        <v>0.64583333333333337</v>
      </c>
      <c r="F167" s="11"/>
      <c r="J167" s="9" t="s">
        <v>217</v>
      </c>
    </row>
    <row r="168" spans="1:10">
      <c r="A168" s="9" t="s">
        <v>380</v>
      </c>
      <c r="B168" s="10">
        <v>42971</v>
      </c>
      <c r="C168" s="11">
        <v>0.5625</v>
      </c>
      <c r="D168" s="10">
        <v>42971</v>
      </c>
      <c r="E168" s="11">
        <v>0.64583333333333337</v>
      </c>
      <c r="F168" s="11"/>
      <c r="J168" s="9" t="s">
        <v>217</v>
      </c>
    </row>
    <row r="169" spans="1:10">
      <c r="A169" s="9" t="s">
        <v>380</v>
      </c>
      <c r="B169" s="10">
        <v>42972</v>
      </c>
      <c r="C169" s="11">
        <v>0.5625</v>
      </c>
      <c r="D169" s="10">
        <v>42972</v>
      </c>
      <c r="E169" s="11">
        <v>0.64583333333333337</v>
      </c>
      <c r="F169" s="11"/>
      <c r="J169" s="9" t="s">
        <v>217</v>
      </c>
    </row>
    <row r="170" spans="1:10">
      <c r="A170" s="9" t="s">
        <v>380</v>
      </c>
      <c r="B170" s="10">
        <v>42973</v>
      </c>
      <c r="C170" s="11">
        <v>0.5625</v>
      </c>
      <c r="D170" s="10">
        <v>42973</v>
      </c>
      <c r="E170" s="11">
        <v>0.64583333333333337</v>
      </c>
      <c r="F170" s="11"/>
      <c r="J170" s="9" t="s">
        <v>217</v>
      </c>
    </row>
    <row r="171" spans="1:10">
      <c r="A171" s="9" t="s">
        <v>380</v>
      </c>
      <c r="B171" s="10">
        <v>42974</v>
      </c>
      <c r="C171" s="11">
        <v>0.5625</v>
      </c>
      <c r="D171" s="10">
        <v>42974</v>
      </c>
      <c r="E171" s="11">
        <v>0.64583333333333337</v>
      </c>
      <c r="F171" s="11"/>
      <c r="J171" s="9" t="s">
        <v>217</v>
      </c>
    </row>
    <row r="172" spans="1:10">
      <c r="A172" s="9" t="s">
        <v>380</v>
      </c>
      <c r="B172" s="10">
        <v>42975</v>
      </c>
      <c r="C172" s="11">
        <v>0.5625</v>
      </c>
      <c r="D172" s="10">
        <v>42975</v>
      </c>
      <c r="E172" s="11">
        <v>0.64583333333333337</v>
      </c>
      <c r="F172" s="11"/>
      <c r="J172" s="9" t="s">
        <v>217</v>
      </c>
    </row>
    <row r="173" spans="1:10">
      <c r="A173" s="9" t="s">
        <v>380</v>
      </c>
      <c r="B173" s="10">
        <v>42976</v>
      </c>
      <c r="C173" s="11">
        <v>0.5625</v>
      </c>
      <c r="D173" s="10">
        <v>42976</v>
      </c>
      <c r="E173" s="11">
        <v>0.64583333333333337</v>
      </c>
      <c r="F173" s="11"/>
      <c r="J173" s="9" t="s">
        <v>217</v>
      </c>
    </row>
    <row r="174" spans="1:10">
      <c r="A174" s="9" t="s">
        <v>380</v>
      </c>
      <c r="B174" s="10">
        <v>42977</v>
      </c>
      <c r="C174" s="11">
        <v>0.5625</v>
      </c>
      <c r="D174" s="10">
        <v>42977</v>
      </c>
      <c r="E174" s="11">
        <v>0.64583333333333337</v>
      </c>
      <c r="F174" s="11"/>
      <c r="J174" s="9" t="s">
        <v>217</v>
      </c>
    </row>
    <row r="175" spans="1:10">
      <c r="A175" s="9" t="s">
        <v>380</v>
      </c>
      <c r="B175" s="10">
        <v>42978</v>
      </c>
      <c r="C175" s="11">
        <v>0.5625</v>
      </c>
      <c r="D175" s="10">
        <v>42978</v>
      </c>
      <c r="E175" s="11">
        <v>0.64583333333333337</v>
      </c>
      <c r="F175" s="11"/>
      <c r="J175" s="9" t="s">
        <v>217</v>
      </c>
    </row>
    <row r="176" spans="1:10">
      <c r="A176" s="9" t="s">
        <v>380</v>
      </c>
      <c r="B176" s="10">
        <v>42979</v>
      </c>
      <c r="C176" s="11">
        <v>0.5625</v>
      </c>
      <c r="D176" s="10">
        <v>42979</v>
      </c>
      <c r="E176" s="11">
        <v>0.64583333333333337</v>
      </c>
      <c r="F176" s="11"/>
      <c r="J176" s="9" t="s">
        <v>217</v>
      </c>
    </row>
    <row r="177" spans="1:10">
      <c r="A177" s="9" t="s">
        <v>380</v>
      </c>
      <c r="B177" s="10">
        <v>42980</v>
      </c>
      <c r="C177" s="11">
        <v>0.5625</v>
      </c>
      <c r="D177" s="10">
        <v>42980</v>
      </c>
      <c r="E177" s="11">
        <v>0.64583333333333337</v>
      </c>
      <c r="F177" s="11"/>
      <c r="J177" s="9" t="s">
        <v>217</v>
      </c>
    </row>
    <row r="178" spans="1:10">
      <c r="A178" s="9" t="s">
        <v>380</v>
      </c>
      <c r="B178" s="10">
        <v>42982</v>
      </c>
      <c r="C178" s="11">
        <v>0.5625</v>
      </c>
      <c r="D178" s="10">
        <v>42982</v>
      </c>
      <c r="E178" s="11">
        <v>0.64583333333333337</v>
      </c>
      <c r="F178" s="11"/>
      <c r="J178" s="9" t="s">
        <v>217</v>
      </c>
    </row>
    <row r="179" spans="1:10">
      <c r="A179" s="9" t="s">
        <v>380</v>
      </c>
      <c r="B179" s="10">
        <v>42983</v>
      </c>
      <c r="C179" s="11">
        <v>0.5625</v>
      </c>
      <c r="D179" s="10">
        <v>42983</v>
      </c>
      <c r="E179" s="11">
        <v>0.64583333333333337</v>
      </c>
      <c r="F179" s="11"/>
      <c r="J179" s="9" t="s">
        <v>217</v>
      </c>
    </row>
    <row r="180" spans="1:10">
      <c r="A180" s="9" t="s">
        <v>380</v>
      </c>
      <c r="B180" s="10">
        <v>42984</v>
      </c>
      <c r="C180" s="11">
        <v>0.5625</v>
      </c>
      <c r="D180" s="10">
        <v>42984</v>
      </c>
      <c r="E180" s="11">
        <v>0.64583333333333337</v>
      </c>
      <c r="F180" s="11"/>
      <c r="J180" s="9" t="s">
        <v>217</v>
      </c>
    </row>
    <row r="181" spans="1:10">
      <c r="A181" s="9" t="s">
        <v>380</v>
      </c>
      <c r="B181" s="10">
        <v>42985</v>
      </c>
      <c r="C181" s="11">
        <v>0.5625</v>
      </c>
      <c r="D181" s="10">
        <v>42985</v>
      </c>
      <c r="E181" s="11">
        <v>0.64583333333333337</v>
      </c>
      <c r="F181" s="9"/>
      <c r="G181" s="9"/>
      <c r="H181" s="9"/>
      <c r="I181" s="9"/>
      <c r="J181" s="9" t="s">
        <v>217</v>
      </c>
    </row>
    <row r="182" spans="1:10">
      <c r="A182" s="9" t="s">
        <v>380</v>
      </c>
      <c r="B182" s="10">
        <v>42986</v>
      </c>
      <c r="C182" s="11">
        <v>0.5625</v>
      </c>
      <c r="D182" s="10">
        <v>42986</v>
      </c>
      <c r="E182" s="11">
        <v>0.64583333333333337</v>
      </c>
      <c r="F182" s="9"/>
      <c r="G182" s="9"/>
      <c r="H182" s="9"/>
      <c r="I182" s="9"/>
      <c r="J182" s="9" t="s">
        <v>217</v>
      </c>
    </row>
    <row r="183" spans="1:10">
      <c r="A183" s="9" t="s">
        <v>380</v>
      </c>
      <c r="B183" s="10">
        <v>42987</v>
      </c>
      <c r="C183" s="11">
        <v>0.5625</v>
      </c>
      <c r="D183" s="10">
        <v>42987</v>
      </c>
      <c r="E183" s="11">
        <v>0.64583333333333337</v>
      </c>
      <c r="F183" s="11"/>
      <c r="J183" s="9" t="s">
        <v>217</v>
      </c>
    </row>
    <row r="184" spans="1:10">
      <c r="A184" s="9" t="s">
        <v>380</v>
      </c>
      <c r="B184" s="10">
        <v>42989</v>
      </c>
      <c r="C184" s="11">
        <v>0.5625</v>
      </c>
      <c r="D184" s="10">
        <v>42989</v>
      </c>
      <c r="E184" s="11">
        <v>0.64583333333333337</v>
      </c>
      <c r="F184" s="11"/>
      <c r="J184" s="9" t="s">
        <v>217</v>
      </c>
    </row>
    <row r="185" spans="1:10">
      <c r="A185" s="9" t="s">
        <v>380</v>
      </c>
      <c r="B185" s="10">
        <v>42991</v>
      </c>
      <c r="C185" s="11">
        <v>0.5625</v>
      </c>
      <c r="D185" s="10">
        <v>42991</v>
      </c>
      <c r="E185" s="11">
        <v>0.64583333333333337</v>
      </c>
      <c r="F185" s="11"/>
      <c r="J185" s="9" t="s">
        <v>217</v>
      </c>
    </row>
    <row r="186" spans="1:10">
      <c r="A186" s="9" t="s">
        <v>380</v>
      </c>
      <c r="B186" s="10">
        <v>42992</v>
      </c>
      <c r="C186" s="11">
        <v>0.5625</v>
      </c>
      <c r="D186" s="10">
        <v>42992</v>
      </c>
      <c r="E186" s="11">
        <v>0.64583333333333337</v>
      </c>
      <c r="F186" s="11"/>
      <c r="J186" s="9" t="s">
        <v>217</v>
      </c>
    </row>
    <row r="187" spans="1:10">
      <c r="A187" s="9" t="s">
        <v>380</v>
      </c>
      <c r="B187" s="10">
        <v>42993</v>
      </c>
      <c r="C187" s="11">
        <v>0.5625</v>
      </c>
      <c r="D187" s="10">
        <v>42993</v>
      </c>
      <c r="E187" s="11">
        <v>0.64583333333333337</v>
      </c>
      <c r="F187" s="11"/>
      <c r="J187" s="9" t="s">
        <v>217</v>
      </c>
    </row>
    <row r="188" spans="1:10">
      <c r="A188" s="9" t="s">
        <v>380</v>
      </c>
      <c r="B188" s="10">
        <v>42994</v>
      </c>
      <c r="C188" s="11">
        <v>0.5625</v>
      </c>
      <c r="D188" s="10">
        <v>42994</v>
      </c>
      <c r="E188" s="11">
        <v>0.64583333333333337</v>
      </c>
      <c r="F188" s="11"/>
      <c r="J188" s="9" t="s">
        <v>217</v>
      </c>
    </row>
    <row r="189" spans="1:10">
      <c r="A189" s="9" t="s">
        <v>380</v>
      </c>
      <c r="B189" s="10">
        <v>42996</v>
      </c>
      <c r="C189" s="11">
        <v>0.5625</v>
      </c>
      <c r="D189" s="10">
        <v>42996</v>
      </c>
      <c r="E189" s="11">
        <v>0.64583333333333337</v>
      </c>
      <c r="F189" s="11"/>
      <c r="J189" s="9" t="s">
        <v>217</v>
      </c>
    </row>
    <row r="190" spans="1:10">
      <c r="A190" s="9" t="s">
        <v>380</v>
      </c>
      <c r="B190" s="10">
        <v>42999</v>
      </c>
      <c r="C190" s="11">
        <v>0.5625</v>
      </c>
      <c r="D190" s="10">
        <v>42999</v>
      </c>
      <c r="E190" s="11">
        <v>0.64583333333333337</v>
      </c>
      <c r="F190" s="11"/>
      <c r="J190" s="9" t="s">
        <v>217</v>
      </c>
    </row>
    <row r="191" spans="1:10">
      <c r="A191" s="9" t="s">
        <v>380</v>
      </c>
      <c r="B191" s="10">
        <v>43000</v>
      </c>
      <c r="C191" s="11">
        <v>0.5625</v>
      </c>
      <c r="D191" s="10">
        <v>43000</v>
      </c>
      <c r="E191" s="11">
        <v>0.64583333333333337</v>
      </c>
      <c r="F191" s="11"/>
      <c r="J191" s="9" t="s">
        <v>217</v>
      </c>
    </row>
    <row r="192" spans="1:10">
      <c r="A192" s="9" t="s">
        <v>380</v>
      </c>
      <c r="B192" s="10">
        <v>43001</v>
      </c>
      <c r="C192" s="11">
        <v>0.5625</v>
      </c>
      <c r="D192" s="10">
        <v>43001</v>
      </c>
      <c r="E192" s="11">
        <v>0.64583333333333337</v>
      </c>
      <c r="F192" s="11"/>
      <c r="J192" s="9" t="s">
        <v>217</v>
      </c>
    </row>
    <row r="193" spans="1:10">
      <c r="A193" s="9" t="s">
        <v>380</v>
      </c>
      <c r="B193" s="10">
        <v>43003</v>
      </c>
      <c r="C193" s="11">
        <v>0.5625</v>
      </c>
      <c r="D193" s="10">
        <v>43003</v>
      </c>
      <c r="E193" s="11">
        <v>0.64583333333333337</v>
      </c>
      <c r="F193" s="11"/>
      <c r="J193" s="9" t="s">
        <v>217</v>
      </c>
    </row>
    <row r="194" spans="1:10">
      <c r="A194" s="9" t="s">
        <v>405</v>
      </c>
      <c r="B194" s="10">
        <v>43005</v>
      </c>
      <c r="C194" s="11">
        <v>0.5625</v>
      </c>
      <c r="D194" s="10">
        <v>43005</v>
      </c>
      <c r="E194" s="11">
        <v>0.64583333333333337</v>
      </c>
      <c r="F194" s="11"/>
      <c r="J194" s="9" t="s">
        <v>217</v>
      </c>
    </row>
    <row r="195" spans="1:10">
      <c r="A195" s="9" t="s">
        <v>405</v>
      </c>
      <c r="B195" s="10">
        <v>43007</v>
      </c>
      <c r="C195" s="11">
        <v>0.5625</v>
      </c>
      <c r="D195" s="10">
        <v>43007</v>
      </c>
      <c r="E195" s="11">
        <v>0.64583333333333337</v>
      </c>
      <c r="F195" s="11"/>
      <c r="J195" s="9" t="s">
        <v>406</v>
      </c>
    </row>
    <row r="196" spans="1:10">
      <c r="A196" s="9" t="s">
        <v>405</v>
      </c>
      <c r="B196" s="10">
        <v>43008</v>
      </c>
      <c r="C196" s="11">
        <v>0.5625</v>
      </c>
      <c r="D196" s="10">
        <v>43008</v>
      </c>
      <c r="E196" s="11">
        <v>0.64583333333333337</v>
      </c>
      <c r="F196" s="11"/>
      <c r="J196" s="9" t="s">
        <v>217</v>
      </c>
    </row>
    <row r="197" spans="1:10">
      <c r="A197" s="9" t="s">
        <v>405</v>
      </c>
      <c r="B197" s="10">
        <v>43010</v>
      </c>
      <c r="C197" s="11">
        <v>0.5625</v>
      </c>
      <c r="D197" s="10">
        <v>43010</v>
      </c>
      <c r="E197" s="11">
        <v>0.64583333333333337</v>
      </c>
      <c r="F197" s="11"/>
      <c r="J197" s="9" t="s">
        <v>217</v>
      </c>
    </row>
    <row r="198" spans="1:10">
      <c r="A198" s="9" t="s">
        <v>405</v>
      </c>
      <c r="B198" s="10">
        <v>43014</v>
      </c>
      <c r="C198" s="11">
        <v>0.5625</v>
      </c>
      <c r="D198" s="10">
        <v>43014</v>
      </c>
      <c r="E198" s="11">
        <v>0.64583333333333337</v>
      </c>
      <c r="F198" s="11"/>
      <c r="J198" s="9" t="s">
        <v>406</v>
      </c>
    </row>
    <row r="199" spans="1:10">
      <c r="A199" s="9" t="s">
        <v>405</v>
      </c>
      <c r="B199" s="10">
        <v>43015</v>
      </c>
      <c r="C199" s="11">
        <v>0.5625</v>
      </c>
      <c r="D199" s="10">
        <v>43015</v>
      </c>
      <c r="E199" s="11">
        <v>0.64583333333333337</v>
      </c>
      <c r="F199" s="11"/>
      <c r="J199" s="9" t="s">
        <v>406</v>
      </c>
    </row>
    <row r="200" spans="1:10">
      <c r="A200" s="9" t="s">
        <v>405</v>
      </c>
      <c r="B200" s="10">
        <v>43016</v>
      </c>
      <c r="C200" s="11">
        <v>0.5625</v>
      </c>
      <c r="D200" s="10">
        <v>43016</v>
      </c>
      <c r="E200" s="11">
        <v>0.64583333333333337</v>
      </c>
      <c r="F200" s="11"/>
      <c r="J200" s="9" t="s">
        <v>406</v>
      </c>
    </row>
    <row r="201" spans="1:10">
      <c r="A201" s="9" t="s">
        <v>405</v>
      </c>
      <c r="B201" s="10">
        <v>43017</v>
      </c>
      <c r="C201" s="11">
        <v>0.5625</v>
      </c>
      <c r="D201" s="10">
        <v>43017</v>
      </c>
      <c r="E201" s="11">
        <v>0.64583333333333337</v>
      </c>
      <c r="F201" s="11"/>
      <c r="J201" s="9" t="s">
        <v>406</v>
      </c>
    </row>
    <row r="202" spans="1:10">
      <c r="A202" s="9" t="s">
        <v>405</v>
      </c>
      <c r="B202" s="10">
        <v>43021</v>
      </c>
      <c r="C202" s="11">
        <v>0.5625</v>
      </c>
      <c r="D202" s="10">
        <v>43021</v>
      </c>
      <c r="E202" s="11">
        <v>0.64583333333333337</v>
      </c>
      <c r="F202" s="11"/>
      <c r="J202" s="9" t="s">
        <v>406</v>
      </c>
    </row>
    <row r="203" spans="1:10">
      <c r="A203" s="9" t="s">
        <v>405</v>
      </c>
      <c r="B203" s="10">
        <v>43022</v>
      </c>
      <c r="C203" s="11">
        <v>0.5625</v>
      </c>
      <c r="D203" s="10">
        <v>43022</v>
      </c>
      <c r="E203" s="11">
        <v>0.64583333333333337</v>
      </c>
      <c r="F203" s="11"/>
      <c r="J203" s="9" t="s">
        <v>217</v>
      </c>
    </row>
    <row r="204" spans="1:10">
      <c r="J204" s="9" t="s">
        <v>217</v>
      </c>
    </row>
  </sheetData>
  <sortState xmlns:xlrd2="http://schemas.microsoft.com/office/spreadsheetml/2017/richdata2" ref="A113:G203">
    <sortCondition ref="A113:A20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303B-B4F2-4E28-B9BB-70AB8769D870}">
  <dimension ref="A1:S81"/>
  <sheetViews>
    <sheetView workbookViewId="0">
      <selection sqref="A1:XFD1"/>
    </sheetView>
  </sheetViews>
  <sheetFormatPr defaultRowHeight="14.5"/>
  <cols>
    <col min="1" max="1" width="18.54296875" bestFit="1" customWidth="1"/>
    <col min="2" max="2" width="10.453125" bestFit="1" customWidth="1"/>
    <col min="3" max="3" width="7.36328125" bestFit="1" customWidth="1"/>
    <col min="4" max="4" width="10.453125" bestFit="1" customWidth="1"/>
    <col min="5" max="5" width="8.26953125" bestFit="1" customWidth="1"/>
    <col min="8" max="8" width="8.7265625" style="7"/>
    <col min="13" max="13" width="10.453125" bestFit="1" customWidth="1"/>
    <col min="14" max="14" width="17.36328125" bestFit="1" customWidth="1"/>
    <col min="15" max="15" width="17.36328125" customWidth="1"/>
  </cols>
  <sheetData>
    <row r="1" spans="1:19" s="7" customFormat="1">
      <c r="A1" s="18" t="s">
        <v>203</v>
      </c>
      <c r="B1" s="18" t="s">
        <v>312</v>
      </c>
      <c r="C1" s="18" t="s">
        <v>204</v>
      </c>
      <c r="D1" s="18" t="s">
        <v>205</v>
      </c>
      <c r="E1" s="18" t="s">
        <v>204</v>
      </c>
      <c r="F1" s="18" t="s">
        <v>206</v>
      </c>
      <c r="G1" s="18" t="s">
        <v>207</v>
      </c>
      <c r="H1" s="18" t="s">
        <v>439</v>
      </c>
      <c r="I1" s="18" t="s">
        <v>436</v>
      </c>
      <c r="J1" s="18" t="s">
        <v>209</v>
      </c>
      <c r="K1" s="18" t="s">
        <v>210</v>
      </c>
      <c r="L1" s="18" t="s">
        <v>211</v>
      </c>
      <c r="M1" s="18" t="s">
        <v>212</v>
      </c>
      <c r="N1" s="18" t="s">
        <v>213</v>
      </c>
      <c r="O1" s="18" t="s">
        <v>379</v>
      </c>
      <c r="P1" s="18" t="s">
        <v>433</v>
      </c>
      <c r="Q1" s="18" t="s">
        <v>434</v>
      </c>
      <c r="R1" s="18" t="s">
        <v>313</v>
      </c>
      <c r="S1" s="18" t="s">
        <v>214</v>
      </c>
    </row>
    <row r="2" spans="1:19">
      <c r="A2" s="18" t="s">
        <v>203</v>
      </c>
      <c r="B2" s="18" t="s">
        <v>312</v>
      </c>
      <c r="C2" s="18" t="s">
        <v>204</v>
      </c>
      <c r="D2" s="18" t="s">
        <v>205</v>
      </c>
      <c r="E2" s="18" t="s">
        <v>204</v>
      </c>
      <c r="F2" s="18" t="s">
        <v>206</v>
      </c>
      <c r="G2" s="18" t="s">
        <v>207</v>
      </c>
      <c r="H2" s="18" t="s">
        <v>439</v>
      </c>
      <c r="I2" s="18" t="s">
        <v>208</v>
      </c>
      <c r="J2" s="18" t="s">
        <v>209</v>
      </c>
      <c r="K2" s="18" t="s">
        <v>210</v>
      </c>
      <c r="L2" s="18" t="s">
        <v>211</v>
      </c>
      <c r="M2" s="18" t="s">
        <v>212</v>
      </c>
      <c r="N2" s="18" t="s">
        <v>213</v>
      </c>
      <c r="O2" s="18" t="s">
        <v>379</v>
      </c>
      <c r="P2" s="18" t="s">
        <v>433</v>
      </c>
      <c r="Q2" s="18" t="s">
        <v>434</v>
      </c>
      <c r="R2" s="18" t="s">
        <v>313</v>
      </c>
      <c r="S2" s="18" t="s">
        <v>214</v>
      </c>
    </row>
    <row r="3" spans="1:19">
      <c r="A3" t="s">
        <v>440</v>
      </c>
      <c r="B3" s="1">
        <v>42498</v>
      </c>
      <c r="C3" s="2">
        <v>0.3125</v>
      </c>
      <c r="D3" s="1">
        <v>42498</v>
      </c>
      <c r="E3" s="2">
        <v>0.66666666666666663</v>
      </c>
      <c r="F3" t="s">
        <v>227</v>
      </c>
      <c r="G3" t="s">
        <v>227</v>
      </c>
      <c r="H3" s="7" t="str">
        <f>IF(F3=G3,"No","Yes")</f>
        <v>No</v>
      </c>
      <c r="J3" t="s">
        <v>33</v>
      </c>
      <c r="K3" t="s">
        <v>223</v>
      </c>
      <c r="L3" t="s">
        <v>441</v>
      </c>
      <c r="M3" s="1">
        <v>42375</v>
      </c>
      <c r="N3" t="s">
        <v>442</v>
      </c>
      <c r="O3">
        <v>715</v>
      </c>
      <c r="P3">
        <v>93</v>
      </c>
      <c r="Q3">
        <v>23</v>
      </c>
      <c r="R3">
        <v>913</v>
      </c>
      <c r="S3">
        <v>471</v>
      </c>
    </row>
    <row r="4" spans="1:19">
      <c r="A4" t="s">
        <v>215</v>
      </c>
      <c r="B4" s="1">
        <v>42507</v>
      </c>
      <c r="C4" s="2">
        <v>0.375</v>
      </c>
      <c r="D4" s="1">
        <v>42508</v>
      </c>
      <c r="E4" s="2">
        <v>0.625</v>
      </c>
      <c r="F4" t="s">
        <v>235</v>
      </c>
      <c r="G4" t="s">
        <v>236</v>
      </c>
      <c r="H4" s="7" t="str">
        <f t="shared" ref="H4:H67" si="0">IF(F4=G4,"No","Yes")</f>
        <v>Yes</v>
      </c>
      <c r="I4" t="s">
        <v>208</v>
      </c>
      <c r="J4" t="s">
        <v>217</v>
      </c>
      <c r="K4" t="s">
        <v>218</v>
      </c>
      <c r="L4" t="s">
        <v>219</v>
      </c>
      <c r="M4" s="1">
        <v>42312</v>
      </c>
      <c r="N4" t="s">
        <v>443</v>
      </c>
      <c r="O4">
        <v>325</v>
      </c>
      <c r="P4" t="s">
        <v>465</v>
      </c>
      <c r="Q4" t="s">
        <v>465</v>
      </c>
      <c r="R4">
        <v>140</v>
      </c>
      <c r="S4">
        <v>65</v>
      </c>
    </row>
    <row r="5" spans="1:19">
      <c r="A5" t="s">
        <v>237</v>
      </c>
      <c r="B5" s="1">
        <v>42518</v>
      </c>
      <c r="C5" s="2">
        <v>0.375</v>
      </c>
      <c r="D5" s="1">
        <v>42520</v>
      </c>
      <c r="E5" s="2">
        <v>0.5625</v>
      </c>
      <c r="F5" t="s">
        <v>216</v>
      </c>
      <c r="G5" t="s">
        <v>395</v>
      </c>
      <c r="H5" s="7" t="str">
        <f t="shared" si="0"/>
        <v>Yes</v>
      </c>
      <c r="J5" t="s">
        <v>33</v>
      </c>
      <c r="K5" t="s">
        <v>228</v>
      </c>
      <c r="L5" t="s">
        <v>228</v>
      </c>
      <c r="M5" s="1">
        <v>42235</v>
      </c>
      <c r="N5" t="s">
        <v>239</v>
      </c>
      <c r="O5">
        <v>215</v>
      </c>
      <c r="P5" t="s">
        <v>465</v>
      </c>
      <c r="Q5" t="s">
        <v>465</v>
      </c>
      <c r="R5">
        <v>39</v>
      </c>
      <c r="S5">
        <v>26</v>
      </c>
    </row>
    <row r="6" spans="1:19">
      <c r="A6" t="s">
        <v>230</v>
      </c>
      <c r="B6" s="1">
        <v>42519</v>
      </c>
      <c r="C6" s="2">
        <v>0.33333333333333331</v>
      </c>
      <c r="D6" s="1">
        <v>42519</v>
      </c>
      <c r="E6" s="2">
        <v>0.70833333333333337</v>
      </c>
      <c r="F6" t="s">
        <v>227</v>
      </c>
      <c r="G6" t="s">
        <v>227</v>
      </c>
      <c r="H6" s="7" t="str">
        <f t="shared" si="0"/>
        <v>No</v>
      </c>
      <c r="I6">
        <v>9</v>
      </c>
      <c r="J6" t="s">
        <v>231</v>
      </c>
      <c r="K6" t="s">
        <v>232</v>
      </c>
      <c r="L6" t="s">
        <v>233</v>
      </c>
      <c r="M6" s="1">
        <v>41872</v>
      </c>
      <c r="N6" t="s">
        <v>234</v>
      </c>
      <c r="O6">
        <v>918</v>
      </c>
      <c r="P6">
        <v>106</v>
      </c>
      <c r="Q6">
        <v>26</v>
      </c>
      <c r="R6" s="3">
        <v>2002</v>
      </c>
      <c r="S6">
        <v>760</v>
      </c>
    </row>
    <row r="7" spans="1:19">
      <c r="A7" t="s">
        <v>263</v>
      </c>
      <c r="B7" s="1">
        <v>42523</v>
      </c>
      <c r="C7" s="2">
        <v>0.375</v>
      </c>
      <c r="D7" s="1">
        <v>42523</v>
      </c>
      <c r="E7" s="2">
        <v>0.75</v>
      </c>
      <c r="F7" t="s">
        <v>222</v>
      </c>
      <c r="G7" t="s">
        <v>222</v>
      </c>
      <c r="H7" s="7" t="str">
        <f t="shared" si="0"/>
        <v>No</v>
      </c>
      <c r="I7">
        <v>9</v>
      </c>
      <c r="J7" t="s">
        <v>33</v>
      </c>
      <c r="K7" t="s">
        <v>223</v>
      </c>
      <c r="L7" t="s">
        <v>224</v>
      </c>
      <c r="M7" s="1">
        <v>41814</v>
      </c>
      <c r="N7" t="s">
        <v>264</v>
      </c>
      <c r="O7">
        <v>964</v>
      </c>
      <c r="P7" t="s">
        <v>465</v>
      </c>
      <c r="Q7">
        <v>58</v>
      </c>
      <c r="R7">
        <v>2260</v>
      </c>
      <c r="S7">
        <v>1101</v>
      </c>
    </row>
    <row r="8" spans="1:19">
      <c r="A8" t="s">
        <v>237</v>
      </c>
      <c r="B8" s="1">
        <v>42524</v>
      </c>
      <c r="C8" s="2">
        <v>0.89583333333333337</v>
      </c>
      <c r="D8" s="1">
        <v>42525</v>
      </c>
      <c r="E8" s="2">
        <v>0.5625</v>
      </c>
      <c r="F8" t="s">
        <v>238</v>
      </c>
      <c r="G8" t="s">
        <v>424</v>
      </c>
      <c r="H8" s="7" t="str">
        <f t="shared" si="0"/>
        <v>Yes</v>
      </c>
      <c r="J8" t="s">
        <v>33</v>
      </c>
      <c r="K8" t="s">
        <v>228</v>
      </c>
      <c r="L8" t="s">
        <v>228</v>
      </c>
      <c r="M8" s="1">
        <v>42235</v>
      </c>
      <c r="N8" t="s">
        <v>239</v>
      </c>
      <c r="O8">
        <v>215</v>
      </c>
      <c r="P8" t="s">
        <v>465</v>
      </c>
      <c r="Q8" t="s">
        <v>465</v>
      </c>
      <c r="R8">
        <v>65</v>
      </c>
      <c r="S8">
        <v>26</v>
      </c>
    </row>
    <row r="9" spans="1:19">
      <c r="A9" t="s">
        <v>237</v>
      </c>
      <c r="B9" s="1">
        <v>42531</v>
      </c>
      <c r="C9" s="2">
        <v>0.70833333333333337</v>
      </c>
      <c r="D9" s="1">
        <v>42533</v>
      </c>
      <c r="E9" s="2">
        <v>0.5625</v>
      </c>
      <c r="F9" t="s">
        <v>238</v>
      </c>
      <c r="G9" t="s">
        <v>412</v>
      </c>
      <c r="H9" s="7" t="str">
        <f t="shared" si="0"/>
        <v>Yes</v>
      </c>
      <c r="J9" t="s">
        <v>33</v>
      </c>
      <c r="K9" t="s">
        <v>228</v>
      </c>
      <c r="L9" t="s">
        <v>228</v>
      </c>
      <c r="M9" s="1">
        <v>42235</v>
      </c>
      <c r="N9" t="s">
        <v>239</v>
      </c>
      <c r="O9">
        <v>215</v>
      </c>
      <c r="P9" t="s">
        <v>465</v>
      </c>
      <c r="Q9" t="s">
        <v>465</v>
      </c>
      <c r="R9">
        <v>65</v>
      </c>
      <c r="S9">
        <v>26</v>
      </c>
    </row>
    <row r="10" spans="1:19">
      <c r="A10" t="s">
        <v>263</v>
      </c>
      <c r="B10" s="1">
        <v>42537</v>
      </c>
      <c r="C10" s="2">
        <v>0.375</v>
      </c>
      <c r="D10" s="1">
        <v>42537</v>
      </c>
      <c r="E10" s="2">
        <v>0.75</v>
      </c>
      <c r="F10" t="s">
        <v>222</v>
      </c>
      <c r="G10" t="s">
        <v>222</v>
      </c>
      <c r="H10" s="7" t="str">
        <f t="shared" si="0"/>
        <v>No</v>
      </c>
      <c r="I10">
        <v>9</v>
      </c>
      <c r="J10" t="s">
        <v>33</v>
      </c>
      <c r="K10" t="s">
        <v>223</v>
      </c>
      <c r="L10" t="s">
        <v>224</v>
      </c>
      <c r="M10" s="1">
        <v>41814</v>
      </c>
      <c r="N10" t="s">
        <v>264</v>
      </c>
      <c r="O10">
        <v>964</v>
      </c>
      <c r="P10">
        <v>106</v>
      </c>
      <c r="Q10">
        <v>58</v>
      </c>
      <c r="R10">
        <v>2492</v>
      </c>
      <c r="S10">
        <v>1101</v>
      </c>
    </row>
    <row r="11" spans="1:19">
      <c r="A11" t="s">
        <v>237</v>
      </c>
      <c r="B11" s="1">
        <v>42538</v>
      </c>
      <c r="C11" s="2">
        <v>0.70833333333333337</v>
      </c>
      <c r="D11" s="1">
        <v>42539</v>
      </c>
      <c r="E11" s="2">
        <v>0.5625</v>
      </c>
      <c r="F11" t="s">
        <v>238</v>
      </c>
      <c r="G11" t="s">
        <v>424</v>
      </c>
      <c r="H11" s="7" t="str">
        <f t="shared" si="0"/>
        <v>Yes</v>
      </c>
      <c r="J11" t="s">
        <v>33</v>
      </c>
      <c r="K11" t="s">
        <v>228</v>
      </c>
      <c r="L11" t="s">
        <v>228</v>
      </c>
      <c r="M11" s="1">
        <v>42235</v>
      </c>
      <c r="N11" t="s">
        <v>239</v>
      </c>
      <c r="O11">
        <v>215</v>
      </c>
      <c r="P11" t="s">
        <v>465</v>
      </c>
      <c r="Q11" t="s">
        <v>465</v>
      </c>
      <c r="R11">
        <v>146</v>
      </c>
      <c r="S11">
        <v>26</v>
      </c>
    </row>
    <row r="12" spans="1:19">
      <c r="A12" t="s">
        <v>444</v>
      </c>
      <c r="B12" s="1">
        <v>42541</v>
      </c>
      <c r="C12" s="2">
        <v>0.58333333333333337</v>
      </c>
      <c r="D12" s="1">
        <v>42542</v>
      </c>
      <c r="E12" s="2">
        <v>0.5625</v>
      </c>
      <c r="F12" t="s">
        <v>242</v>
      </c>
      <c r="G12" t="s">
        <v>400</v>
      </c>
      <c r="H12" s="7" t="str">
        <f t="shared" si="0"/>
        <v>Yes</v>
      </c>
      <c r="J12" t="s">
        <v>33</v>
      </c>
      <c r="K12" t="s">
        <v>228</v>
      </c>
      <c r="L12" t="s">
        <v>228</v>
      </c>
      <c r="M12" s="1">
        <v>42235</v>
      </c>
      <c r="N12" t="s">
        <v>445</v>
      </c>
      <c r="O12">
        <v>166</v>
      </c>
      <c r="P12" t="s">
        <v>465</v>
      </c>
      <c r="Q12" t="s">
        <v>465</v>
      </c>
      <c r="R12">
        <v>43</v>
      </c>
      <c r="S12">
        <v>13</v>
      </c>
    </row>
    <row r="13" spans="1:19">
      <c r="A13" t="s">
        <v>237</v>
      </c>
      <c r="B13" s="1">
        <v>42545</v>
      </c>
      <c r="C13" s="2">
        <v>0.70833333333333337</v>
      </c>
      <c r="D13" s="1">
        <v>42546</v>
      </c>
      <c r="E13" s="2">
        <v>0.5625</v>
      </c>
      <c r="F13" t="s">
        <v>238</v>
      </c>
      <c r="G13" t="s">
        <v>424</v>
      </c>
      <c r="H13" s="7" t="str">
        <f t="shared" si="0"/>
        <v>Yes</v>
      </c>
      <c r="J13" t="s">
        <v>33</v>
      </c>
      <c r="K13" t="s">
        <v>228</v>
      </c>
      <c r="L13" t="s">
        <v>228</v>
      </c>
      <c r="M13" s="1">
        <v>42235</v>
      </c>
      <c r="N13" t="s">
        <v>239</v>
      </c>
      <c r="O13">
        <v>215</v>
      </c>
      <c r="P13" t="s">
        <v>465</v>
      </c>
      <c r="Q13" t="s">
        <v>465</v>
      </c>
      <c r="R13">
        <v>147</v>
      </c>
      <c r="S13">
        <v>26</v>
      </c>
    </row>
    <row r="14" spans="1:19">
      <c r="A14" t="s">
        <v>230</v>
      </c>
      <c r="B14" s="1">
        <v>42547</v>
      </c>
      <c r="C14" s="2">
        <v>0.33333333333333331</v>
      </c>
      <c r="D14" s="1">
        <v>42547</v>
      </c>
      <c r="E14" s="2">
        <v>0.70833333333333337</v>
      </c>
      <c r="F14" t="s">
        <v>227</v>
      </c>
      <c r="G14" t="s">
        <v>227</v>
      </c>
      <c r="H14" s="7" t="str">
        <f t="shared" si="0"/>
        <v>No</v>
      </c>
      <c r="I14">
        <v>9</v>
      </c>
      <c r="J14" t="s">
        <v>231</v>
      </c>
      <c r="K14" t="s">
        <v>232</v>
      </c>
      <c r="L14" t="s">
        <v>233</v>
      </c>
      <c r="M14" s="1">
        <v>41872</v>
      </c>
      <c r="N14" t="s">
        <v>234</v>
      </c>
      <c r="O14">
        <v>918</v>
      </c>
      <c r="P14">
        <v>106</v>
      </c>
      <c r="Q14">
        <v>26</v>
      </c>
      <c r="R14" s="3">
        <v>2229</v>
      </c>
      <c r="S14">
        <v>760</v>
      </c>
    </row>
    <row r="15" spans="1:19">
      <c r="A15" t="s">
        <v>237</v>
      </c>
      <c r="B15" s="1">
        <v>42552</v>
      </c>
      <c r="C15" s="2">
        <v>0.70833333333333337</v>
      </c>
      <c r="D15" s="1">
        <v>42553</v>
      </c>
      <c r="E15" s="2">
        <v>0.5625</v>
      </c>
      <c r="F15" t="s">
        <v>238</v>
      </c>
      <c r="G15" t="s">
        <v>424</v>
      </c>
      <c r="H15" s="7" t="str">
        <f t="shared" si="0"/>
        <v>Yes</v>
      </c>
      <c r="J15" t="s">
        <v>33</v>
      </c>
      <c r="K15" t="s">
        <v>228</v>
      </c>
      <c r="L15" t="s">
        <v>228</v>
      </c>
      <c r="M15" s="1">
        <v>42235</v>
      </c>
      <c r="N15" t="s">
        <v>239</v>
      </c>
      <c r="O15">
        <v>215</v>
      </c>
      <c r="P15" t="s">
        <v>465</v>
      </c>
      <c r="Q15" t="s">
        <v>465</v>
      </c>
      <c r="R15">
        <v>130</v>
      </c>
      <c r="S15">
        <v>26</v>
      </c>
    </row>
    <row r="16" spans="1:19">
      <c r="A16" t="s">
        <v>237</v>
      </c>
      <c r="B16" s="1">
        <v>42559</v>
      </c>
      <c r="C16" s="2">
        <v>0.70833333333333337</v>
      </c>
      <c r="D16" s="1">
        <v>42560</v>
      </c>
      <c r="E16" s="2">
        <v>0.5625</v>
      </c>
      <c r="F16" t="s">
        <v>238</v>
      </c>
      <c r="G16" t="s">
        <v>424</v>
      </c>
      <c r="H16" s="7" t="str">
        <f t="shared" si="0"/>
        <v>Yes</v>
      </c>
      <c r="J16" t="s">
        <v>33</v>
      </c>
      <c r="K16" t="s">
        <v>228</v>
      </c>
      <c r="L16" t="s">
        <v>228</v>
      </c>
      <c r="M16" s="1">
        <v>42235</v>
      </c>
      <c r="N16" t="s">
        <v>239</v>
      </c>
      <c r="O16">
        <v>215</v>
      </c>
      <c r="P16" t="s">
        <v>465</v>
      </c>
      <c r="Q16" t="s">
        <v>465</v>
      </c>
      <c r="R16">
        <v>146</v>
      </c>
      <c r="S16">
        <v>26</v>
      </c>
    </row>
    <row r="17" spans="1:19">
      <c r="A17" t="s">
        <v>444</v>
      </c>
      <c r="B17" s="1">
        <v>42562</v>
      </c>
      <c r="C17" s="2">
        <v>0.58333333333333337</v>
      </c>
      <c r="D17" s="1">
        <v>42567</v>
      </c>
      <c r="E17" s="2">
        <v>0.5625</v>
      </c>
      <c r="F17" t="s">
        <v>242</v>
      </c>
      <c r="G17" t="s">
        <v>424</v>
      </c>
      <c r="H17" s="7" t="str">
        <f t="shared" si="0"/>
        <v>Yes</v>
      </c>
      <c r="J17" t="s">
        <v>33</v>
      </c>
      <c r="K17" t="s">
        <v>228</v>
      </c>
      <c r="L17" t="s">
        <v>228</v>
      </c>
      <c r="M17" s="1">
        <v>42235</v>
      </c>
      <c r="N17" t="s">
        <v>445</v>
      </c>
      <c r="O17">
        <v>166</v>
      </c>
      <c r="P17" t="s">
        <v>465</v>
      </c>
      <c r="Q17" t="s">
        <v>465</v>
      </c>
      <c r="R17">
        <v>147</v>
      </c>
      <c r="S17">
        <v>13</v>
      </c>
    </row>
    <row r="18" spans="1:19">
      <c r="A18" t="s">
        <v>237</v>
      </c>
      <c r="B18" s="1">
        <v>42566</v>
      </c>
      <c r="C18" s="2">
        <v>0.70833333333333337</v>
      </c>
      <c r="D18" s="1">
        <v>42567</v>
      </c>
      <c r="E18" s="2">
        <v>0.5625</v>
      </c>
      <c r="F18" t="s">
        <v>238</v>
      </c>
      <c r="G18" t="s">
        <v>424</v>
      </c>
      <c r="H18" s="7" t="str">
        <f t="shared" si="0"/>
        <v>Yes</v>
      </c>
      <c r="J18" t="s">
        <v>33</v>
      </c>
      <c r="K18" t="s">
        <v>228</v>
      </c>
      <c r="L18" t="s">
        <v>228</v>
      </c>
      <c r="M18" s="1">
        <v>42235</v>
      </c>
      <c r="N18" t="s">
        <v>239</v>
      </c>
      <c r="O18">
        <v>215</v>
      </c>
      <c r="P18" t="s">
        <v>465</v>
      </c>
      <c r="Q18" t="s">
        <v>465</v>
      </c>
      <c r="R18">
        <v>176</v>
      </c>
      <c r="S18">
        <v>26</v>
      </c>
    </row>
    <row r="19" spans="1:19">
      <c r="A19" t="s">
        <v>237</v>
      </c>
      <c r="B19" s="1">
        <v>42573</v>
      </c>
      <c r="C19" s="2">
        <v>0.70833333333333337</v>
      </c>
      <c r="D19" s="1">
        <v>42574</v>
      </c>
      <c r="E19" s="2">
        <v>0.5625</v>
      </c>
      <c r="F19" t="s">
        <v>238</v>
      </c>
      <c r="G19" t="s">
        <v>424</v>
      </c>
      <c r="H19" s="7" t="str">
        <f t="shared" si="0"/>
        <v>Yes</v>
      </c>
      <c r="J19" t="s">
        <v>33</v>
      </c>
      <c r="K19" t="s">
        <v>228</v>
      </c>
      <c r="L19" t="s">
        <v>228</v>
      </c>
      <c r="M19" s="1">
        <v>42235</v>
      </c>
      <c r="N19" t="s">
        <v>239</v>
      </c>
      <c r="O19">
        <v>215</v>
      </c>
      <c r="P19" t="s">
        <v>465</v>
      </c>
      <c r="Q19" t="s">
        <v>465</v>
      </c>
      <c r="R19">
        <v>180</v>
      </c>
      <c r="S19">
        <v>26</v>
      </c>
    </row>
    <row r="20" spans="1:19">
      <c r="A20" t="s">
        <v>444</v>
      </c>
      <c r="B20" s="1">
        <v>42573</v>
      </c>
      <c r="C20" s="2">
        <v>0.58333333333333337</v>
      </c>
      <c r="D20" s="1">
        <v>42574</v>
      </c>
      <c r="E20" s="2">
        <v>0.5625</v>
      </c>
      <c r="F20" t="s">
        <v>238</v>
      </c>
      <c r="G20" t="s">
        <v>424</v>
      </c>
      <c r="H20" s="7" t="str">
        <f t="shared" si="0"/>
        <v>Yes</v>
      </c>
      <c r="J20" t="s">
        <v>33</v>
      </c>
      <c r="K20" t="s">
        <v>228</v>
      </c>
      <c r="L20" t="s">
        <v>228</v>
      </c>
      <c r="M20" s="1">
        <v>42235</v>
      </c>
      <c r="N20" t="s">
        <v>445</v>
      </c>
      <c r="O20">
        <v>166</v>
      </c>
      <c r="P20" t="s">
        <v>465</v>
      </c>
      <c r="Q20" t="s">
        <v>465</v>
      </c>
      <c r="R20">
        <v>47</v>
      </c>
      <c r="S20">
        <v>13</v>
      </c>
    </row>
    <row r="21" spans="1:19">
      <c r="A21" t="s">
        <v>237</v>
      </c>
      <c r="B21" s="1">
        <v>42580</v>
      </c>
      <c r="C21" s="2">
        <v>0.70833333333333337</v>
      </c>
      <c r="D21" s="1">
        <v>42581</v>
      </c>
      <c r="E21" s="2">
        <v>0.5625</v>
      </c>
      <c r="F21" t="s">
        <v>238</v>
      </c>
      <c r="G21" t="s">
        <v>424</v>
      </c>
      <c r="H21" s="7" t="str">
        <f t="shared" si="0"/>
        <v>Yes</v>
      </c>
      <c r="J21" t="s">
        <v>33</v>
      </c>
      <c r="K21" t="s">
        <v>228</v>
      </c>
      <c r="L21" t="s">
        <v>228</v>
      </c>
      <c r="M21" s="1">
        <v>42235</v>
      </c>
      <c r="N21" t="s">
        <v>239</v>
      </c>
      <c r="O21">
        <v>215</v>
      </c>
      <c r="P21" t="s">
        <v>465</v>
      </c>
      <c r="Q21" t="s">
        <v>465</v>
      </c>
      <c r="R21">
        <v>142</v>
      </c>
      <c r="S21">
        <v>26</v>
      </c>
    </row>
    <row r="22" spans="1:19">
      <c r="A22" t="s">
        <v>444</v>
      </c>
      <c r="B22" s="1">
        <v>42580</v>
      </c>
      <c r="C22" s="2">
        <v>0.70833333333333337</v>
      </c>
      <c r="D22" s="1">
        <v>42581</v>
      </c>
      <c r="E22" s="2">
        <v>0.5625</v>
      </c>
      <c r="F22" t="s">
        <v>238</v>
      </c>
      <c r="G22" t="s">
        <v>424</v>
      </c>
      <c r="H22" s="7" t="str">
        <f t="shared" si="0"/>
        <v>Yes</v>
      </c>
      <c r="J22" t="s">
        <v>33</v>
      </c>
      <c r="K22" t="s">
        <v>228</v>
      </c>
      <c r="L22" t="s">
        <v>228</v>
      </c>
      <c r="M22" s="1">
        <v>42235</v>
      </c>
      <c r="N22" t="s">
        <v>445</v>
      </c>
      <c r="O22">
        <v>166</v>
      </c>
      <c r="P22" t="s">
        <v>465</v>
      </c>
      <c r="Q22" t="s">
        <v>465</v>
      </c>
      <c r="R22">
        <v>0</v>
      </c>
      <c r="S22">
        <v>0</v>
      </c>
    </row>
    <row r="23" spans="1:19">
      <c r="A23" t="s">
        <v>237</v>
      </c>
      <c r="B23" s="1">
        <v>42587</v>
      </c>
      <c r="C23" s="2">
        <v>0.70833333333333337</v>
      </c>
      <c r="D23" s="1">
        <v>42589</v>
      </c>
      <c r="E23" s="2">
        <v>0.5625</v>
      </c>
      <c r="F23" t="s">
        <v>238</v>
      </c>
      <c r="G23" t="s">
        <v>412</v>
      </c>
      <c r="H23" s="7" t="str">
        <f t="shared" si="0"/>
        <v>Yes</v>
      </c>
      <c r="J23" t="s">
        <v>33</v>
      </c>
      <c r="K23" t="s">
        <v>228</v>
      </c>
      <c r="L23" t="s">
        <v>228</v>
      </c>
      <c r="M23" s="1">
        <v>42235</v>
      </c>
      <c r="N23" t="s">
        <v>239</v>
      </c>
      <c r="O23">
        <v>215</v>
      </c>
      <c r="P23" t="s">
        <v>465</v>
      </c>
      <c r="Q23" t="s">
        <v>465</v>
      </c>
      <c r="R23">
        <v>168</v>
      </c>
      <c r="S23">
        <v>26</v>
      </c>
    </row>
    <row r="24" spans="1:19">
      <c r="A24" t="s">
        <v>444</v>
      </c>
      <c r="B24" s="1">
        <v>42587</v>
      </c>
      <c r="C24" s="2">
        <v>0.70833333333333337</v>
      </c>
      <c r="D24" s="1">
        <v>42588</v>
      </c>
      <c r="E24" s="2">
        <v>0.5625</v>
      </c>
      <c r="F24" t="s">
        <v>238</v>
      </c>
      <c r="G24" t="s">
        <v>424</v>
      </c>
      <c r="H24" s="7" t="str">
        <f t="shared" si="0"/>
        <v>Yes</v>
      </c>
      <c r="J24" t="s">
        <v>33</v>
      </c>
      <c r="K24" t="s">
        <v>228</v>
      </c>
      <c r="L24" t="s">
        <v>228</v>
      </c>
      <c r="M24" s="1">
        <v>42235</v>
      </c>
      <c r="N24" t="s">
        <v>445</v>
      </c>
      <c r="O24">
        <v>166</v>
      </c>
      <c r="P24" t="s">
        <v>465</v>
      </c>
      <c r="Q24" t="s">
        <v>465</v>
      </c>
      <c r="R24">
        <v>0</v>
      </c>
      <c r="S24">
        <v>0</v>
      </c>
    </row>
    <row r="25" spans="1:19">
      <c r="A25" t="s">
        <v>230</v>
      </c>
      <c r="B25" s="1">
        <v>42589</v>
      </c>
      <c r="C25" s="2">
        <v>0.33333333333333331</v>
      </c>
      <c r="D25" s="1">
        <v>42589</v>
      </c>
      <c r="E25" s="2">
        <v>0.70833333333333337</v>
      </c>
      <c r="F25" t="s">
        <v>227</v>
      </c>
      <c r="G25" t="s">
        <v>227</v>
      </c>
      <c r="H25" s="7" t="str">
        <f t="shared" si="0"/>
        <v>No</v>
      </c>
      <c r="I25">
        <v>9</v>
      </c>
      <c r="J25" t="s">
        <v>231</v>
      </c>
      <c r="K25" t="s">
        <v>232</v>
      </c>
      <c r="L25" t="s">
        <v>233</v>
      </c>
      <c r="M25" s="1">
        <v>41872</v>
      </c>
      <c r="N25" t="s">
        <v>234</v>
      </c>
      <c r="O25">
        <v>918</v>
      </c>
      <c r="P25">
        <v>106</v>
      </c>
      <c r="Q25">
        <v>26</v>
      </c>
      <c r="R25" s="3">
        <v>2259</v>
      </c>
      <c r="S25">
        <v>760</v>
      </c>
    </row>
    <row r="26" spans="1:19">
      <c r="A26" t="s">
        <v>237</v>
      </c>
      <c r="B26" s="1">
        <v>42594</v>
      </c>
      <c r="C26" s="2">
        <v>0.70833333333333337</v>
      </c>
      <c r="D26" s="1">
        <v>42595</v>
      </c>
      <c r="E26" s="2">
        <v>0.5625</v>
      </c>
      <c r="F26" t="s">
        <v>238</v>
      </c>
      <c r="G26" t="s">
        <v>424</v>
      </c>
      <c r="H26" s="7" t="str">
        <f t="shared" si="0"/>
        <v>Yes</v>
      </c>
      <c r="J26" t="s">
        <v>33</v>
      </c>
      <c r="K26" t="s">
        <v>228</v>
      </c>
      <c r="L26" t="s">
        <v>228</v>
      </c>
      <c r="M26" s="1">
        <v>42235</v>
      </c>
      <c r="N26" t="s">
        <v>239</v>
      </c>
      <c r="O26">
        <v>215</v>
      </c>
      <c r="P26" t="s">
        <v>465</v>
      </c>
      <c r="Q26" t="s">
        <v>465</v>
      </c>
      <c r="R26">
        <v>188</v>
      </c>
      <c r="S26">
        <v>26</v>
      </c>
    </row>
    <row r="27" spans="1:19">
      <c r="A27" t="s">
        <v>444</v>
      </c>
      <c r="B27" s="1">
        <v>42594</v>
      </c>
      <c r="C27" s="2">
        <v>0.70833333333333337</v>
      </c>
      <c r="D27" s="1">
        <v>42595</v>
      </c>
      <c r="E27" s="2">
        <v>0.5625</v>
      </c>
      <c r="F27" t="s">
        <v>238</v>
      </c>
      <c r="G27" t="s">
        <v>424</v>
      </c>
      <c r="H27" s="7" t="str">
        <f t="shared" si="0"/>
        <v>Yes</v>
      </c>
      <c r="J27" t="s">
        <v>33</v>
      </c>
      <c r="K27" t="s">
        <v>228</v>
      </c>
      <c r="L27" t="s">
        <v>228</v>
      </c>
      <c r="M27" s="1">
        <v>42235</v>
      </c>
      <c r="N27" t="s">
        <v>445</v>
      </c>
      <c r="O27">
        <v>166</v>
      </c>
      <c r="P27" t="s">
        <v>465</v>
      </c>
      <c r="Q27" t="s">
        <v>465</v>
      </c>
      <c r="R27">
        <v>47</v>
      </c>
      <c r="S27">
        <v>13</v>
      </c>
    </row>
    <row r="28" spans="1:19">
      <c r="A28" t="s">
        <v>237</v>
      </c>
      <c r="B28" s="1">
        <v>42601</v>
      </c>
      <c r="C28" s="2">
        <v>0.70833333333333337</v>
      </c>
      <c r="D28" s="1">
        <v>42602</v>
      </c>
      <c r="E28" s="2">
        <v>0.5625</v>
      </c>
      <c r="F28" t="s">
        <v>238</v>
      </c>
      <c r="G28" t="s">
        <v>424</v>
      </c>
      <c r="H28" s="7" t="str">
        <f t="shared" si="0"/>
        <v>Yes</v>
      </c>
      <c r="J28" t="s">
        <v>33</v>
      </c>
      <c r="K28" t="s">
        <v>228</v>
      </c>
      <c r="L28" t="s">
        <v>228</v>
      </c>
      <c r="M28" s="1">
        <v>42235</v>
      </c>
      <c r="N28" t="s">
        <v>239</v>
      </c>
      <c r="O28">
        <v>215</v>
      </c>
      <c r="P28" t="s">
        <v>465</v>
      </c>
      <c r="Q28" t="s">
        <v>465</v>
      </c>
      <c r="R28">
        <v>184</v>
      </c>
      <c r="S28">
        <v>26</v>
      </c>
    </row>
    <row r="29" spans="1:19">
      <c r="A29" t="s">
        <v>444</v>
      </c>
      <c r="B29" s="1">
        <v>42601</v>
      </c>
      <c r="C29" s="2">
        <v>0.70833333333333337</v>
      </c>
      <c r="D29" s="1">
        <v>42602</v>
      </c>
      <c r="E29" s="2">
        <v>0.5625</v>
      </c>
      <c r="F29" t="s">
        <v>238</v>
      </c>
      <c r="G29" t="s">
        <v>424</v>
      </c>
      <c r="H29" s="7" t="str">
        <f t="shared" si="0"/>
        <v>Yes</v>
      </c>
      <c r="J29" t="s">
        <v>33</v>
      </c>
      <c r="K29" t="s">
        <v>228</v>
      </c>
      <c r="L29" t="s">
        <v>228</v>
      </c>
      <c r="M29" s="1">
        <v>42235</v>
      </c>
      <c r="N29" t="s">
        <v>445</v>
      </c>
      <c r="O29">
        <v>166</v>
      </c>
      <c r="P29" t="s">
        <v>465</v>
      </c>
      <c r="Q29" t="s">
        <v>465</v>
      </c>
      <c r="R29">
        <v>92</v>
      </c>
      <c r="S29">
        <v>13</v>
      </c>
    </row>
    <row r="30" spans="1:19">
      <c r="A30" t="s">
        <v>446</v>
      </c>
      <c r="B30" s="1">
        <v>42607</v>
      </c>
      <c r="C30" s="2">
        <v>0.29166666666666669</v>
      </c>
      <c r="D30" s="1">
        <v>42607</v>
      </c>
      <c r="E30" s="2">
        <v>0.625</v>
      </c>
      <c r="F30" t="s">
        <v>222</v>
      </c>
      <c r="G30" t="s">
        <v>222</v>
      </c>
      <c r="H30" s="7" t="str">
        <f t="shared" si="0"/>
        <v>No</v>
      </c>
      <c r="I30">
        <v>8</v>
      </c>
      <c r="J30" t="s">
        <v>33</v>
      </c>
      <c r="K30" t="s">
        <v>218</v>
      </c>
      <c r="L30" t="s">
        <v>258</v>
      </c>
      <c r="M30" s="1">
        <v>41898</v>
      </c>
      <c r="N30" t="s">
        <v>447</v>
      </c>
      <c r="O30">
        <v>780</v>
      </c>
      <c r="P30">
        <v>106</v>
      </c>
      <c r="Q30">
        <v>36</v>
      </c>
      <c r="R30" s="3">
        <v>1270</v>
      </c>
      <c r="S30">
        <v>600</v>
      </c>
    </row>
    <row r="31" spans="1:19">
      <c r="A31" t="s">
        <v>237</v>
      </c>
      <c r="B31" s="1">
        <v>42608</v>
      </c>
      <c r="C31" s="2">
        <v>0.70833333333333337</v>
      </c>
      <c r="D31" s="1">
        <v>42609</v>
      </c>
      <c r="E31" s="2">
        <v>0.5625</v>
      </c>
      <c r="F31" t="s">
        <v>238</v>
      </c>
      <c r="G31" t="s">
        <v>424</v>
      </c>
      <c r="H31" s="7" t="str">
        <f t="shared" si="0"/>
        <v>Yes</v>
      </c>
      <c r="J31" t="s">
        <v>33</v>
      </c>
      <c r="K31" t="s">
        <v>228</v>
      </c>
      <c r="L31" t="s">
        <v>228</v>
      </c>
      <c r="M31" s="1">
        <v>42235</v>
      </c>
      <c r="N31" t="s">
        <v>445</v>
      </c>
      <c r="O31">
        <v>166</v>
      </c>
      <c r="P31" t="s">
        <v>465</v>
      </c>
      <c r="Q31" t="s">
        <v>465</v>
      </c>
      <c r="R31">
        <v>175</v>
      </c>
      <c r="S31">
        <v>13</v>
      </c>
    </row>
    <row r="32" spans="1:19">
      <c r="A32" t="s">
        <v>254</v>
      </c>
      <c r="B32" s="1">
        <v>42610</v>
      </c>
      <c r="C32" s="2">
        <v>0.33333333333333331</v>
      </c>
      <c r="D32" s="1">
        <v>42610</v>
      </c>
      <c r="E32" s="2">
        <v>0.70833333333333337</v>
      </c>
      <c r="F32" t="s">
        <v>227</v>
      </c>
      <c r="G32" t="s">
        <v>227</v>
      </c>
      <c r="H32" s="7" t="str">
        <f t="shared" si="0"/>
        <v>No</v>
      </c>
      <c r="I32">
        <v>9</v>
      </c>
      <c r="J32" t="s">
        <v>231</v>
      </c>
      <c r="K32" t="s">
        <v>232</v>
      </c>
      <c r="L32" t="s">
        <v>255</v>
      </c>
      <c r="M32" s="1">
        <v>41786</v>
      </c>
      <c r="N32" t="s">
        <v>448</v>
      </c>
      <c r="O32">
        <v>114</v>
      </c>
      <c r="P32">
        <v>42</v>
      </c>
      <c r="Q32">
        <v>8.8000000000000007</v>
      </c>
      <c r="R32">
        <v>4594</v>
      </c>
      <c r="S32">
        <v>1480</v>
      </c>
    </row>
    <row r="33" spans="1:19">
      <c r="A33" t="s">
        <v>237</v>
      </c>
      <c r="B33" s="1">
        <v>42615</v>
      </c>
      <c r="C33" s="2">
        <v>0.70833333333333337</v>
      </c>
      <c r="D33" s="1">
        <v>42616</v>
      </c>
      <c r="E33" s="2">
        <v>0.5625</v>
      </c>
      <c r="F33" t="s">
        <v>238</v>
      </c>
      <c r="G33" t="s">
        <v>424</v>
      </c>
      <c r="H33" s="7" t="str">
        <f t="shared" si="0"/>
        <v>Yes</v>
      </c>
      <c r="J33" t="s">
        <v>33</v>
      </c>
      <c r="K33" t="s">
        <v>228</v>
      </c>
      <c r="L33" t="s">
        <v>228</v>
      </c>
      <c r="M33" s="1">
        <v>42235</v>
      </c>
      <c r="N33" t="s">
        <v>445</v>
      </c>
      <c r="O33">
        <v>166</v>
      </c>
      <c r="P33" t="s">
        <v>465</v>
      </c>
      <c r="Q33" t="s">
        <v>465</v>
      </c>
      <c r="R33">
        <v>180</v>
      </c>
      <c r="S33">
        <v>13</v>
      </c>
    </row>
    <row r="34" spans="1:19">
      <c r="A34" t="s">
        <v>230</v>
      </c>
      <c r="B34" s="1">
        <v>42617</v>
      </c>
      <c r="C34" s="2">
        <v>0.33333333333333331</v>
      </c>
      <c r="D34" s="1">
        <v>42617</v>
      </c>
      <c r="E34" s="2">
        <v>0.70833333333333337</v>
      </c>
      <c r="F34" t="s">
        <v>227</v>
      </c>
      <c r="G34" t="s">
        <v>227</v>
      </c>
      <c r="H34" s="7" t="str">
        <f t="shared" si="0"/>
        <v>No</v>
      </c>
      <c r="I34">
        <v>9</v>
      </c>
      <c r="J34" t="s">
        <v>231</v>
      </c>
      <c r="K34" t="s">
        <v>232</v>
      </c>
      <c r="L34" t="s">
        <v>233</v>
      </c>
      <c r="M34" s="1">
        <v>41786</v>
      </c>
      <c r="N34" t="s">
        <v>234</v>
      </c>
      <c r="O34">
        <v>918</v>
      </c>
      <c r="P34">
        <v>106</v>
      </c>
      <c r="Q34">
        <v>26</v>
      </c>
      <c r="R34" s="3">
        <v>1944</v>
      </c>
      <c r="S34">
        <v>760</v>
      </c>
    </row>
    <row r="35" spans="1:19">
      <c r="A35" t="s">
        <v>387</v>
      </c>
      <c r="B35" s="1">
        <v>42619</v>
      </c>
      <c r="C35" s="2">
        <v>0.29166666666666669</v>
      </c>
      <c r="D35" s="1">
        <v>42619</v>
      </c>
      <c r="E35" s="2">
        <v>0.70833333333333337</v>
      </c>
      <c r="F35" t="s">
        <v>235</v>
      </c>
      <c r="G35" t="s">
        <v>235</v>
      </c>
      <c r="H35" s="7" t="str">
        <f t="shared" si="0"/>
        <v>No</v>
      </c>
      <c r="I35">
        <v>9</v>
      </c>
      <c r="J35" t="s">
        <v>231</v>
      </c>
      <c r="K35" t="s">
        <v>403</v>
      </c>
      <c r="L35" t="s">
        <v>284</v>
      </c>
      <c r="M35" s="1">
        <v>41992</v>
      </c>
      <c r="N35" t="s">
        <v>449</v>
      </c>
      <c r="O35">
        <v>894</v>
      </c>
      <c r="P35">
        <v>117</v>
      </c>
      <c r="Q35">
        <v>27</v>
      </c>
      <c r="R35" s="3">
        <v>3151</v>
      </c>
      <c r="S35" s="3">
        <v>1040</v>
      </c>
    </row>
    <row r="36" spans="1:19">
      <c r="A36" t="s">
        <v>240</v>
      </c>
      <c r="B36" s="1">
        <v>42620</v>
      </c>
      <c r="C36" s="2">
        <v>0.33333333333333331</v>
      </c>
      <c r="D36" s="1">
        <v>42620</v>
      </c>
      <c r="E36" s="2">
        <v>0.70833333333333337</v>
      </c>
      <c r="F36" t="s">
        <v>236</v>
      </c>
      <c r="G36" t="s">
        <v>236</v>
      </c>
      <c r="H36" s="7" t="str">
        <f t="shared" si="0"/>
        <v>No</v>
      </c>
      <c r="I36">
        <v>9</v>
      </c>
      <c r="J36" t="s">
        <v>231</v>
      </c>
      <c r="K36" t="s">
        <v>232</v>
      </c>
      <c r="L36" t="s">
        <v>241</v>
      </c>
      <c r="M36" s="1">
        <v>41786</v>
      </c>
      <c r="N36" t="s">
        <v>225</v>
      </c>
      <c r="O36">
        <v>965</v>
      </c>
      <c r="P36">
        <v>106</v>
      </c>
      <c r="Q36">
        <v>27</v>
      </c>
      <c r="R36" s="3">
        <v>2115</v>
      </c>
      <c r="S36">
        <v>999</v>
      </c>
    </row>
    <row r="37" spans="1:19">
      <c r="A37" t="s">
        <v>263</v>
      </c>
      <c r="B37" s="1">
        <v>42620</v>
      </c>
      <c r="C37" s="2">
        <v>0.375</v>
      </c>
      <c r="D37" s="1">
        <v>42620</v>
      </c>
      <c r="E37" s="2">
        <v>0.75</v>
      </c>
      <c r="F37" t="s">
        <v>236</v>
      </c>
      <c r="G37" t="s">
        <v>236</v>
      </c>
      <c r="H37" s="7" t="str">
        <f t="shared" si="0"/>
        <v>No</v>
      </c>
      <c r="I37">
        <v>9</v>
      </c>
      <c r="J37" t="s">
        <v>33</v>
      </c>
      <c r="K37" t="s">
        <v>223</v>
      </c>
      <c r="L37" t="s">
        <v>224</v>
      </c>
      <c r="M37" s="1">
        <v>41814</v>
      </c>
      <c r="N37" t="s">
        <v>264</v>
      </c>
      <c r="O37">
        <v>964</v>
      </c>
      <c r="P37">
        <v>106</v>
      </c>
      <c r="Q37">
        <v>58</v>
      </c>
      <c r="R37">
        <v>2400</v>
      </c>
      <c r="S37">
        <v>1101</v>
      </c>
    </row>
    <row r="38" spans="1:19">
      <c r="A38" t="s">
        <v>237</v>
      </c>
      <c r="B38" s="1">
        <v>42622</v>
      </c>
      <c r="C38" s="2">
        <v>0.70833333333333337</v>
      </c>
      <c r="D38" s="1">
        <v>42623</v>
      </c>
      <c r="E38" s="2">
        <v>0.5625</v>
      </c>
      <c r="F38" t="s">
        <v>238</v>
      </c>
      <c r="G38" t="s">
        <v>424</v>
      </c>
      <c r="H38" s="7" t="str">
        <f t="shared" si="0"/>
        <v>Yes</v>
      </c>
      <c r="J38" t="s">
        <v>33</v>
      </c>
      <c r="K38" t="s">
        <v>228</v>
      </c>
      <c r="L38" t="s">
        <v>228</v>
      </c>
      <c r="M38" s="1">
        <v>42235</v>
      </c>
      <c r="N38" t="s">
        <v>445</v>
      </c>
      <c r="O38">
        <v>166</v>
      </c>
      <c r="P38" t="s">
        <v>465</v>
      </c>
      <c r="Q38" t="s">
        <v>465</v>
      </c>
      <c r="R38">
        <v>190</v>
      </c>
      <c r="S38">
        <v>26</v>
      </c>
    </row>
    <row r="39" spans="1:19">
      <c r="A39" t="s">
        <v>444</v>
      </c>
      <c r="B39" s="1">
        <v>42622</v>
      </c>
      <c r="C39" s="2">
        <v>0.70833333333333337</v>
      </c>
      <c r="D39" s="1">
        <v>42623</v>
      </c>
      <c r="E39" s="2">
        <v>0.5625</v>
      </c>
      <c r="F39" t="s">
        <v>238</v>
      </c>
      <c r="G39" t="s">
        <v>424</v>
      </c>
      <c r="H39" s="7" t="str">
        <f t="shared" si="0"/>
        <v>Yes</v>
      </c>
      <c r="J39" t="s">
        <v>33</v>
      </c>
      <c r="K39" t="s">
        <v>228</v>
      </c>
      <c r="L39" t="s">
        <v>228</v>
      </c>
      <c r="M39" s="1">
        <v>42235</v>
      </c>
      <c r="N39" t="s">
        <v>445</v>
      </c>
      <c r="O39">
        <v>166</v>
      </c>
      <c r="P39" t="s">
        <v>465</v>
      </c>
      <c r="Q39" t="s">
        <v>465</v>
      </c>
      <c r="R39">
        <v>0</v>
      </c>
      <c r="S39">
        <v>0</v>
      </c>
    </row>
    <row r="40" spans="1:19">
      <c r="A40" t="s">
        <v>221</v>
      </c>
      <c r="B40" s="1">
        <v>42623</v>
      </c>
      <c r="C40" s="2">
        <v>0.29166666666666669</v>
      </c>
      <c r="D40" s="1">
        <v>42623</v>
      </c>
      <c r="E40" s="2">
        <v>0.625</v>
      </c>
      <c r="F40" t="s">
        <v>216</v>
      </c>
      <c r="G40" t="s">
        <v>216</v>
      </c>
      <c r="H40" s="7" t="str">
        <f t="shared" si="0"/>
        <v>No</v>
      </c>
      <c r="I40">
        <v>8</v>
      </c>
      <c r="J40" t="s">
        <v>33</v>
      </c>
      <c r="K40" t="s">
        <v>223</v>
      </c>
      <c r="L40" t="s">
        <v>224</v>
      </c>
      <c r="M40" s="1">
        <v>41813</v>
      </c>
      <c r="N40" t="s">
        <v>225</v>
      </c>
      <c r="O40">
        <v>965</v>
      </c>
      <c r="P40">
        <v>106</v>
      </c>
      <c r="Q40">
        <v>27</v>
      </c>
      <c r="R40">
        <v>2281</v>
      </c>
      <c r="S40">
        <v>1000</v>
      </c>
    </row>
    <row r="41" spans="1:19">
      <c r="A41" t="s">
        <v>254</v>
      </c>
      <c r="B41" s="1">
        <v>42624</v>
      </c>
      <c r="C41" s="2">
        <v>0.33333333333333331</v>
      </c>
      <c r="D41" s="1">
        <v>42624</v>
      </c>
      <c r="E41" s="2">
        <v>0.70833333333333337</v>
      </c>
      <c r="F41" t="s">
        <v>227</v>
      </c>
      <c r="G41" t="s">
        <v>227</v>
      </c>
      <c r="H41" s="7" t="str">
        <f t="shared" si="0"/>
        <v>No</v>
      </c>
      <c r="I41">
        <v>9</v>
      </c>
      <c r="J41" t="s">
        <v>231</v>
      </c>
      <c r="K41" t="s">
        <v>232</v>
      </c>
      <c r="L41" t="s">
        <v>255</v>
      </c>
      <c r="M41" s="1">
        <v>41795</v>
      </c>
      <c r="N41" t="s">
        <v>448</v>
      </c>
      <c r="O41">
        <v>114</v>
      </c>
      <c r="P41">
        <v>42</v>
      </c>
      <c r="Q41">
        <v>8.8000000000000007</v>
      </c>
      <c r="R41">
        <v>4103</v>
      </c>
      <c r="S41">
        <v>1480</v>
      </c>
    </row>
    <row r="42" spans="1:19">
      <c r="A42" t="s">
        <v>387</v>
      </c>
      <c r="B42" s="1">
        <v>42626</v>
      </c>
      <c r="C42" s="2">
        <v>0.29166666666666669</v>
      </c>
      <c r="D42" s="1">
        <v>42626</v>
      </c>
      <c r="E42" s="2">
        <v>0.70833333333333337</v>
      </c>
      <c r="F42" t="s">
        <v>235</v>
      </c>
      <c r="G42" t="s">
        <v>235</v>
      </c>
      <c r="H42" s="7" t="str">
        <f t="shared" si="0"/>
        <v>No</v>
      </c>
      <c r="I42">
        <v>9</v>
      </c>
      <c r="J42" t="s">
        <v>231</v>
      </c>
      <c r="K42" t="s">
        <v>403</v>
      </c>
      <c r="L42" t="s">
        <v>284</v>
      </c>
      <c r="M42" s="1">
        <v>41992</v>
      </c>
      <c r="N42" t="s">
        <v>449</v>
      </c>
      <c r="O42">
        <v>894</v>
      </c>
      <c r="P42">
        <v>117</v>
      </c>
      <c r="Q42">
        <v>27</v>
      </c>
      <c r="R42" s="3">
        <v>2979</v>
      </c>
      <c r="S42" s="3">
        <v>1040</v>
      </c>
    </row>
    <row r="43" spans="1:19">
      <c r="A43" t="s">
        <v>263</v>
      </c>
      <c r="B43" s="1">
        <v>42627</v>
      </c>
      <c r="C43" s="2">
        <v>0.375</v>
      </c>
      <c r="D43" s="1">
        <v>42627</v>
      </c>
      <c r="E43" s="2">
        <v>0.75</v>
      </c>
      <c r="F43" t="s">
        <v>236</v>
      </c>
      <c r="G43" t="s">
        <v>236</v>
      </c>
      <c r="H43" s="7" t="str">
        <f t="shared" si="0"/>
        <v>No</v>
      </c>
      <c r="I43">
        <v>9</v>
      </c>
      <c r="J43" t="s">
        <v>33</v>
      </c>
      <c r="K43" t="s">
        <v>223</v>
      </c>
      <c r="L43" t="s">
        <v>224</v>
      </c>
      <c r="M43" s="1">
        <v>41814</v>
      </c>
      <c r="N43" t="s">
        <v>264</v>
      </c>
      <c r="O43">
        <v>964</v>
      </c>
      <c r="P43">
        <v>106</v>
      </c>
      <c r="Q43">
        <v>58</v>
      </c>
      <c r="R43">
        <v>2297</v>
      </c>
      <c r="S43">
        <v>1101</v>
      </c>
    </row>
    <row r="44" spans="1:19">
      <c r="A44" t="s">
        <v>237</v>
      </c>
      <c r="B44" s="1">
        <v>42629</v>
      </c>
      <c r="C44" s="2">
        <v>0.70833333333333337</v>
      </c>
      <c r="D44" s="1">
        <v>42630</v>
      </c>
      <c r="E44" s="2">
        <v>0.5625</v>
      </c>
      <c r="F44" t="s">
        <v>238</v>
      </c>
      <c r="G44" t="s">
        <v>424</v>
      </c>
      <c r="H44" s="7" t="str">
        <f t="shared" si="0"/>
        <v>Yes</v>
      </c>
      <c r="J44" t="s">
        <v>33</v>
      </c>
      <c r="K44" t="s">
        <v>228</v>
      </c>
      <c r="L44" t="s">
        <v>228</v>
      </c>
      <c r="M44" s="1">
        <v>42235</v>
      </c>
      <c r="N44" t="s">
        <v>445</v>
      </c>
      <c r="O44">
        <v>166</v>
      </c>
      <c r="P44" t="s">
        <v>465</v>
      </c>
      <c r="Q44" t="s">
        <v>465</v>
      </c>
      <c r="R44">
        <v>188</v>
      </c>
      <c r="S44">
        <v>26</v>
      </c>
    </row>
    <row r="45" spans="1:19">
      <c r="A45" t="s">
        <v>230</v>
      </c>
      <c r="B45" s="1">
        <v>42631</v>
      </c>
      <c r="C45" s="2">
        <v>0.33333333333333331</v>
      </c>
      <c r="D45" s="1">
        <v>42631</v>
      </c>
      <c r="E45" s="2">
        <v>0.70833333333333337</v>
      </c>
      <c r="F45" t="s">
        <v>227</v>
      </c>
      <c r="G45" t="s">
        <v>227</v>
      </c>
      <c r="H45" s="7" t="str">
        <f t="shared" si="0"/>
        <v>No</v>
      </c>
      <c r="I45">
        <v>9</v>
      </c>
      <c r="J45" t="s">
        <v>231</v>
      </c>
      <c r="K45" t="s">
        <v>232</v>
      </c>
      <c r="L45" t="s">
        <v>233</v>
      </c>
      <c r="M45" s="1">
        <v>41872</v>
      </c>
      <c r="N45" t="s">
        <v>234</v>
      </c>
      <c r="O45">
        <v>918</v>
      </c>
      <c r="P45">
        <v>106</v>
      </c>
      <c r="Q45">
        <v>26</v>
      </c>
      <c r="R45" s="3">
        <v>1970</v>
      </c>
      <c r="S45">
        <v>760</v>
      </c>
    </row>
    <row r="46" spans="1:19">
      <c r="A46" t="s">
        <v>276</v>
      </c>
      <c r="B46" s="1">
        <v>42632</v>
      </c>
      <c r="C46" s="2">
        <v>0.29166666666666669</v>
      </c>
      <c r="D46" s="1">
        <v>42632</v>
      </c>
      <c r="E46" s="2">
        <v>0.75</v>
      </c>
      <c r="F46" t="s">
        <v>242</v>
      </c>
      <c r="G46" t="s">
        <v>242</v>
      </c>
      <c r="H46" s="7" t="str">
        <f t="shared" si="0"/>
        <v>No</v>
      </c>
      <c r="I46">
        <v>9</v>
      </c>
      <c r="J46" t="s">
        <v>231</v>
      </c>
      <c r="K46" t="s">
        <v>232</v>
      </c>
      <c r="L46" t="s">
        <v>255</v>
      </c>
      <c r="M46" s="1">
        <v>41852</v>
      </c>
      <c r="N46" t="s">
        <v>277</v>
      </c>
      <c r="O46">
        <v>963</v>
      </c>
      <c r="P46">
        <v>106</v>
      </c>
      <c r="Q46">
        <v>28</v>
      </c>
      <c r="R46">
        <v>2094</v>
      </c>
      <c r="S46">
        <v>869</v>
      </c>
    </row>
    <row r="47" spans="1:19">
      <c r="A47" t="s">
        <v>387</v>
      </c>
      <c r="B47" s="1">
        <v>42633</v>
      </c>
      <c r="C47" s="2">
        <v>0.29166666666666669</v>
      </c>
      <c r="D47" s="1">
        <v>42633</v>
      </c>
      <c r="E47" s="2">
        <v>0.70833333333333337</v>
      </c>
      <c r="F47" t="s">
        <v>235</v>
      </c>
      <c r="G47" t="s">
        <v>235</v>
      </c>
      <c r="H47" s="7" t="str">
        <f t="shared" si="0"/>
        <v>No</v>
      </c>
      <c r="I47">
        <v>9</v>
      </c>
      <c r="J47" t="s">
        <v>231</v>
      </c>
      <c r="K47" t="s">
        <v>403</v>
      </c>
      <c r="L47" t="s">
        <v>284</v>
      </c>
      <c r="M47" s="1">
        <v>41992</v>
      </c>
      <c r="N47" t="s">
        <v>449</v>
      </c>
      <c r="O47">
        <v>894</v>
      </c>
      <c r="P47">
        <v>117</v>
      </c>
      <c r="Q47">
        <v>27</v>
      </c>
      <c r="R47" s="3">
        <v>3069</v>
      </c>
      <c r="S47" s="3">
        <v>1040</v>
      </c>
    </row>
    <row r="48" spans="1:19">
      <c r="A48" t="s">
        <v>450</v>
      </c>
      <c r="B48" s="1">
        <v>42634</v>
      </c>
      <c r="C48" s="2">
        <v>0.33333333333333331</v>
      </c>
      <c r="D48" s="1">
        <v>42634</v>
      </c>
      <c r="E48" s="2">
        <v>0.75</v>
      </c>
      <c r="F48" t="s">
        <v>236</v>
      </c>
      <c r="G48" t="s">
        <v>236</v>
      </c>
      <c r="H48" s="7" t="str">
        <f t="shared" si="0"/>
        <v>No</v>
      </c>
      <c r="I48">
        <v>10</v>
      </c>
      <c r="J48" t="s">
        <v>33</v>
      </c>
      <c r="K48" t="s">
        <v>218</v>
      </c>
      <c r="L48" t="s">
        <v>266</v>
      </c>
      <c r="M48" s="1">
        <v>41963</v>
      </c>
      <c r="N48" t="s">
        <v>451</v>
      </c>
      <c r="O48">
        <v>594</v>
      </c>
      <c r="P48">
        <v>83</v>
      </c>
      <c r="Q48">
        <v>20</v>
      </c>
      <c r="R48">
        <v>642</v>
      </c>
      <c r="S48">
        <v>400</v>
      </c>
    </row>
    <row r="49" spans="1:19">
      <c r="A49" t="s">
        <v>240</v>
      </c>
      <c r="B49" s="1">
        <v>42634</v>
      </c>
      <c r="C49" s="2">
        <v>0.33333333333333331</v>
      </c>
      <c r="D49" s="1">
        <v>42634</v>
      </c>
      <c r="E49" s="2">
        <v>0.70833333333333337</v>
      </c>
      <c r="F49" t="s">
        <v>236</v>
      </c>
      <c r="G49" t="s">
        <v>236</v>
      </c>
      <c r="H49" s="7" t="str">
        <f t="shared" si="0"/>
        <v>No</v>
      </c>
      <c r="I49">
        <v>9</v>
      </c>
      <c r="J49" t="s">
        <v>231</v>
      </c>
      <c r="K49" t="s">
        <v>232</v>
      </c>
      <c r="L49" t="s">
        <v>241</v>
      </c>
      <c r="M49" s="1">
        <v>41786</v>
      </c>
      <c r="N49" t="s">
        <v>225</v>
      </c>
      <c r="O49">
        <v>965</v>
      </c>
      <c r="P49">
        <v>106</v>
      </c>
      <c r="Q49">
        <v>27</v>
      </c>
      <c r="R49" s="3">
        <v>2142</v>
      </c>
      <c r="S49">
        <v>999</v>
      </c>
    </row>
    <row r="50" spans="1:19">
      <c r="A50" t="s">
        <v>237</v>
      </c>
      <c r="B50" s="1">
        <v>42635</v>
      </c>
      <c r="C50" s="2">
        <v>0.83333333333333337</v>
      </c>
      <c r="D50" s="1">
        <v>42636</v>
      </c>
      <c r="E50" s="2">
        <v>0.33333333333333331</v>
      </c>
      <c r="F50" t="s">
        <v>222</v>
      </c>
      <c r="G50" t="s">
        <v>422</v>
      </c>
      <c r="H50" s="7" t="str">
        <f t="shared" si="0"/>
        <v>Yes</v>
      </c>
      <c r="J50" t="s">
        <v>33</v>
      </c>
      <c r="K50" t="s">
        <v>228</v>
      </c>
      <c r="L50" t="s">
        <v>228</v>
      </c>
      <c r="M50" s="1">
        <v>42235</v>
      </c>
      <c r="N50" t="s">
        <v>445</v>
      </c>
      <c r="O50">
        <v>166</v>
      </c>
      <c r="P50" t="s">
        <v>465</v>
      </c>
      <c r="Q50" t="s">
        <v>465</v>
      </c>
      <c r="R50">
        <v>188</v>
      </c>
      <c r="S50">
        <v>26</v>
      </c>
    </row>
    <row r="51" spans="1:19">
      <c r="A51" t="s">
        <v>452</v>
      </c>
      <c r="B51" s="1">
        <v>42635</v>
      </c>
      <c r="C51" s="2">
        <v>0.33333333333333331</v>
      </c>
      <c r="D51" s="1">
        <v>42635</v>
      </c>
      <c r="E51" s="2">
        <v>0.75</v>
      </c>
      <c r="F51" t="s">
        <v>222</v>
      </c>
      <c r="G51" t="s">
        <v>222</v>
      </c>
      <c r="H51" s="7" t="str">
        <f t="shared" si="0"/>
        <v>No</v>
      </c>
      <c r="I51">
        <v>10</v>
      </c>
      <c r="J51" t="s">
        <v>231</v>
      </c>
      <c r="K51" t="s">
        <v>218</v>
      </c>
      <c r="L51" t="s">
        <v>279</v>
      </c>
      <c r="M51" s="1">
        <v>42024</v>
      </c>
      <c r="N51" t="s">
        <v>453</v>
      </c>
      <c r="O51">
        <v>935</v>
      </c>
      <c r="P51">
        <v>106</v>
      </c>
      <c r="Q51">
        <v>26</v>
      </c>
      <c r="R51" s="3">
        <v>2005</v>
      </c>
      <c r="S51">
        <v>880</v>
      </c>
    </row>
    <row r="52" spans="1:19">
      <c r="A52" t="s">
        <v>215</v>
      </c>
      <c r="B52" s="1">
        <v>42637</v>
      </c>
      <c r="C52" s="2">
        <v>0.25</v>
      </c>
      <c r="D52" s="1">
        <v>42637</v>
      </c>
      <c r="E52" s="2">
        <v>0.625</v>
      </c>
      <c r="F52" t="s">
        <v>216</v>
      </c>
      <c r="G52" t="s">
        <v>216</v>
      </c>
      <c r="H52" s="7" t="str">
        <f t="shared" si="0"/>
        <v>No</v>
      </c>
      <c r="I52" t="s">
        <v>208</v>
      </c>
      <c r="J52" t="s">
        <v>217</v>
      </c>
      <c r="K52" t="s">
        <v>218</v>
      </c>
      <c r="L52" t="s">
        <v>219</v>
      </c>
      <c r="M52" s="1">
        <v>42312</v>
      </c>
      <c r="N52" t="s">
        <v>443</v>
      </c>
      <c r="O52">
        <v>325</v>
      </c>
      <c r="P52" t="s">
        <v>465</v>
      </c>
      <c r="Q52" t="s">
        <v>465</v>
      </c>
      <c r="R52">
        <v>201</v>
      </c>
      <c r="S52">
        <v>65</v>
      </c>
    </row>
    <row r="53" spans="1:19">
      <c r="A53" t="s">
        <v>221</v>
      </c>
      <c r="B53" s="1">
        <v>42637</v>
      </c>
      <c r="C53" s="2">
        <v>0.29166666666666669</v>
      </c>
      <c r="D53" s="1">
        <v>42637</v>
      </c>
      <c r="E53" s="2">
        <v>0.625</v>
      </c>
      <c r="F53" t="s">
        <v>216</v>
      </c>
      <c r="G53" t="s">
        <v>216</v>
      </c>
      <c r="H53" s="7" t="str">
        <f t="shared" si="0"/>
        <v>No</v>
      </c>
      <c r="I53">
        <v>8</v>
      </c>
      <c r="J53" t="s">
        <v>33</v>
      </c>
      <c r="K53" t="s">
        <v>223</v>
      </c>
      <c r="L53" t="s">
        <v>224</v>
      </c>
      <c r="M53" s="1">
        <v>41813</v>
      </c>
      <c r="N53" t="s">
        <v>225</v>
      </c>
      <c r="O53">
        <v>965</v>
      </c>
      <c r="P53">
        <v>106</v>
      </c>
      <c r="Q53">
        <v>27</v>
      </c>
      <c r="R53">
        <v>2309</v>
      </c>
      <c r="S53">
        <v>1000</v>
      </c>
    </row>
    <row r="54" spans="1:19">
      <c r="A54" t="s">
        <v>254</v>
      </c>
      <c r="B54" s="1">
        <v>42638</v>
      </c>
      <c r="C54" s="2">
        <v>0.33333333333333331</v>
      </c>
      <c r="D54" s="1">
        <v>42638</v>
      </c>
      <c r="E54" s="2">
        <v>0.70833333333333337</v>
      </c>
      <c r="F54" t="s">
        <v>227</v>
      </c>
      <c r="G54" t="s">
        <v>227</v>
      </c>
      <c r="H54" s="7" t="str">
        <f t="shared" si="0"/>
        <v>No</v>
      </c>
      <c r="I54">
        <v>9</v>
      </c>
      <c r="J54" t="s">
        <v>231</v>
      </c>
      <c r="K54" t="s">
        <v>232</v>
      </c>
      <c r="L54" t="s">
        <v>255</v>
      </c>
      <c r="M54" s="1">
        <v>41795</v>
      </c>
      <c r="N54" t="s">
        <v>448</v>
      </c>
      <c r="O54">
        <v>114</v>
      </c>
      <c r="P54">
        <v>42</v>
      </c>
      <c r="Q54">
        <v>8.8000000000000007</v>
      </c>
      <c r="R54">
        <v>4142</v>
      </c>
      <c r="S54">
        <v>1480</v>
      </c>
    </row>
    <row r="55" spans="1:19">
      <c r="A55" t="s">
        <v>276</v>
      </c>
      <c r="B55" s="1">
        <v>42639</v>
      </c>
      <c r="C55" s="2">
        <v>0.29166666666666669</v>
      </c>
      <c r="D55" s="1">
        <v>42639</v>
      </c>
      <c r="E55" s="2">
        <v>0.75</v>
      </c>
      <c r="F55" t="s">
        <v>242</v>
      </c>
      <c r="G55" t="s">
        <v>242</v>
      </c>
      <c r="H55" s="7" t="str">
        <f t="shared" si="0"/>
        <v>No</v>
      </c>
      <c r="I55">
        <v>11</v>
      </c>
      <c r="J55" t="s">
        <v>231</v>
      </c>
      <c r="K55" t="s">
        <v>232</v>
      </c>
      <c r="L55" t="s">
        <v>233</v>
      </c>
      <c r="M55" s="1">
        <v>41794</v>
      </c>
      <c r="N55" t="s">
        <v>277</v>
      </c>
      <c r="O55">
        <v>963</v>
      </c>
      <c r="P55">
        <v>106</v>
      </c>
      <c r="Q55">
        <v>28</v>
      </c>
      <c r="R55" s="3">
        <v>2121</v>
      </c>
      <c r="S55">
        <v>869</v>
      </c>
    </row>
    <row r="56" spans="1:19">
      <c r="A56" t="s">
        <v>387</v>
      </c>
      <c r="B56" s="1">
        <v>42640</v>
      </c>
      <c r="C56" s="2">
        <v>0.29166666666666669</v>
      </c>
      <c r="D56" s="1">
        <v>42640</v>
      </c>
      <c r="E56" s="2">
        <v>0.70833333333333337</v>
      </c>
      <c r="F56" t="s">
        <v>235</v>
      </c>
      <c r="G56" t="s">
        <v>235</v>
      </c>
      <c r="H56" s="7" t="str">
        <f t="shared" si="0"/>
        <v>No</v>
      </c>
      <c r="I56">
        <v>9</v>
      </c>
      <c r="J56" t="s">
        <v>231</v>
      </c>
      <c r="K56" t="s">
        <v>403</v>
      </c>
      <c r="L56" t="s">
        <v>284</v>
      </c>
      <c r="M56" s="1">
        <v>41992</v>
      </c>
      <c r="N56" t="s">
        <v>449</v>
      </c>
      <c r="O56">
        <v>894</v>
      </c>
      <c r="P56">
        <v>117</v>
      </c>
      <c r="Q56">
        <v>27</v>
      </c>
      <c r="R56" s="3">
        <v>3013</v>
      </c>
      <c r="S56" s="3">
        <v>1040</v>
      </c>
    </row>
    <row r="57" spans="1:19">
      <c r="A57" t="s">
        <v>263</v>
      </c>
      <c r="B57" s="1">
        <v>42641</v>
      </c>
      <c r="C57" s="2">
        <v>0.375</v>
      </c>
      <c r="D57" s="1">
        <v>42641</v>
      </c>
      <c r="E57" s="2">
        <v>0.75</v>
      </c>
      <c r="F57" t="s">
        <v>236</v>
      </c>
      <c r="G57" t="s">
        <v>236</v>
      </c>
      <c r="H57" s="7" t="str">
        <f t="shared" si="0"/>
        <v>No</v>
      </c>
      <c r="I57">
        <v>9</v>
      </c>
      <c r="J57" t="s">
        <v>33</v>
      </c>
      <c r="K57" t="s">
        <v>223</v>
      </c>
      <c r="L57" t="s">
        <v>224</v>
      </c>
      <c r="M57" s="1">
        <v>41814</v>
      </c>
      <c r="N57" t="s">
        <v>264</v>
      </c>
      <c r="O57">
        <v>964</v>
      </c>
      <c r="P57">
        <v>106</v>
      </c>
      <c r="Q57">
        <v>58</v>
      </c>
      <c r="R57">
        <v>2374</v>
      </c>
      <c r="S57">
        <v>1101</v>
      </c>
    </row>
    <row r="58" spans="1:19">
      <c r="A58" t="s">
        <v>391</v>
      </c>
      <c r="B58" s="1">
        <v>42642</v>
      </c>
      <c r="C58" s="2">
        <v>0.5</v>
      </c>
      <c r="D58" s="1">
        <v>42642</v>
      </c>
      <c r="E58" s="2">
        <v>0.83333333333333337</v>
      </c>
      <c r="F58" t="s">
        <v>222</v>
      </c>
      <c r="G58" t="s">
        <v>222</v>
      </c>
      <c r="H58" s="7" t="str">
        <f t="shared" si="0"/>
        <v>No</v>
      </c>
      <c r="I58">
        <v>10</v>
      </c>
      <c r="J58" t="s">
        <v>33</v>
      </c>
      <c r="K58" t="s">
        <v>218</v>
      </c>
      <c r="L58" t="s">
        <v>392</v>
      </c>
      <c r="M58" s="1">
        <v>41716</v>
      </c>
      <c r="N58" t="s">
        <v>454</v>
      </c>
      <c r="O58">
        <v>820</v>
      </c>
      <c r="P58">
        <v>106</v>
      </c>
      <c r="Q58">
        <v>25</v>
      </c>
      <c r="R58">
        <v>1006</v>
      </c>
      <c r="S58">
        <v>545</v>
      </c>
    </row>
    <row r="59" spans="1:19">
      <c r="A59" t="s">
        <v>390</v>
      </c>
      <c r="B59" s="1">
        <v>42643</v>
      </c>
      <c r="C59" s="2">
        <v>0.54166666666666663</v>
      </c>
      <c r="D59" s="1">
        <v>42643</v>
      </c>
      <c r="E59" s="2">
        <v>0.875</v>
      </c>
      <c r="F59" t="s">
        <v>238</v>
      </c>
      <c r="G59" t="s">
        <v>238</v>
      </c>
      <c r="H59" s="7" t="str">
        <f t="shared" si="0"/>
        <v>No</v>
      </c>
      <c r="I59">
        <v>10</v>
      </c>
      <c r="J59" t="s">
        <v>33</v>
      </c>
      <c r="K59" t="s">
        <v>218</v>
      </c>
      <c r="L59" t="s">
        <v>455</v>
      </c>
      <c r="M59" s="1">
        <v>42104</v>
      </c>
      <c r="N59" t="s">
        <v>456</v>
      </c>
      <c r="O59">
        <v>610</v>
      </c>
      <c r="P59">
        <v>82</v>
      </c>
      <c r="Q59">
        <v>10</v>
      </c>
      <c r="R59">
        <v>365</v>
      </c>
      <c r="S59">
        <v>302</v>
      </c>
    </row>
    <row r="60" spans="1:19">
      <c r="A60" t="s">
        <v>393</v>
      </c>
      <c r="B60" s="1">
        <v>42643</v>
      </c>
      <c r="C60" s="2">
        <v>0.35416666666666669</v>
      </c>
      <c r="D60" s="1">
        <v>42643</v>
      </c>
      <c r="E60" s="2">
        <v>0.75</v>
      </c>
      <c r="F60" t="s">
        <v>238</v>
      </c>
      <c r="G60" t="s">
        <v>238</v>
      </c>
      <c r="H60" s="7" t="str">
        <f t="shared" si="0"/>
        <v>No</v>
      </c>
      <c r="I60" t="s">
        <v>208</v>
      </c>
      <c r="J60" t="s">
        <v>217</v>
      </c>
      <c r="K60" t="s">
        <v>232</v>
      </c>
      <c r="L60" t="s">
        <v>455</v>
      </c>
      <c r="M60" s="1">
        <v>42233</v>
      </c>
      <c r="N60" t="s">
        <v>457</v>
      </c>
      <c r="O60">
        <v>354</v>
      </c>
      <c r="P60">
        <v>51</v>
      </c>
      <c r="Q60">
        <v>23</v>
      </c>
      <c r="R60">
        <v>116</v>
      </c>
      <c r="S60">
        <v>117</v>
      </c>
    </row>
    <row r="61" spans="1:19">
      <c r="A61" t="s">
        <v>230</v>
      </c>
      <c r="B61" s="1">
        <v>42645</v>
      </c>
      <c r="C61" s="2">
        <v>0.33333333333333331</v>
      </c>
      <c r="D61" s="1">
        <v>42645</v>
      </c>
      <c r="E61" s="2">
        <v>0.70833333333333337</v>
      </c>
      <c r="F61" t="s">
        <v>227</v>
      </c>
      <c r="G61" t="s">
        <v>227</v>
      </c>
      <c r="H61" s="7" t="str">
        <f t="shared" si="0"/>
        <v>No</v>
      </c>
      <c r="I61">
        <v>9</v>
      </c>
      <c r="J61" t="s">
        <v>231</v>
      </c>
      <c r="K61" t="s">
        <v>232</v>
      </c>
      <c r="L61" t="s">
        <v>233</v>
      </c>
      <c r="M61" s="1">
        <v>41872</v>
      </c>
      <c r="N61" t="s">
        <v>234</v>
      </c>
      <c r="O61">
        <v>918</v>
      </c>
      <c r="P61">
        <v>106</v>
      </c>
      <c r="Q61">
        <v>26</v>
      </c>
      <c r="R61" s="3">
        <v>1930</v>
      </c>
      <c r="S61">
        <v>760</v>
      </c>
    </row>
    <row r="62" spans="1:19">
      <c r="A62" t="s">
        <v>276</v>
      </c>
      <c r="B62" s="1">
        <v>42646</v>
      </c>
      <c r="C62" s="2">
        <v>0.29166666666666669</v>
      </c>
      <c r="D62" s="1">
        <v>42646</v>
      </c>
      <c r="E62" s="2">
        <v>0.75</v>
      </c>
      <c r="F62" t="s">
        <v>242</v>
      </c>
      <c r="G62" t="s">
        <v>242</v>
      </c>
      <c r="H62" s="7" t="str">
        <f t="shared" si="0"/>
        <v>No</v>
      </c>
      <c r="I62">
        <v>9</v>
      </c>
      <c r="J62" t="s">
        <v>231</v>
      </c>
      <c r="K62" t="s">
        <v>232</v>
      </c>
      <c r="L62" t="s">
        <v>255</v>
      </c>
      <c r="M62" s="1">
        <v>41852</v>
      </c>
      <c r="N62" t="s">
        <v>277</v>
      </c>
      <c r="O62">
        <v>963</v>
      </c>
      <c r="P62">
        <v>106</v>
      </c>
      <c r="Q62">
        <v>28</v>
      </c>
      <c r="R62">
        <v>2138</v>
      </c>
      <c r="S62">
        <v>869</v>
      </c>
    </row>
    <row r="63" spans="1:19">
      <c r="A63" t="s">
        <v>458</v>
      </c>
      <c r="B63" s="1">
        <v>42646</v>
      </c>
      <c r="C63" s="2">
        <v>0.33333333333333331</v>
      </c>
      <c r="D63" s="1">
        <v>42646</v>
      </c>
      <c r="E63" s="2">
        <v>0.875</v>
      </c>
      <c r="F63" t="s">
        <v>242</v>
      </c>
      <c r="G63" t="s">
        <v>242</v>
      </c>
      <c r="H63" s="7" t="str">
        <f t="shared" si="0"/>
        <v>No</v>
      </c>
      <c r="I63">
        <v>13</v>
      </c>
      <c r="J63" t="s">
        <v>33</v>
      </c>
      <c r="K63" t="s">
        <v>232</v>
      </c>
      <c r="L63" t="s">
        <v>459</v>
      </c>
      <c r="M63" s="1">
        <v>41848</v>
      </c>
      <c r="N63" t="s">
        <v>451</v>
      </c>
      <c r="O63">
        <v>594</v>
      </c>
      <c r="P63">
        <v>83</v>
      </c>
      <c r="Q63">
        <v>20</v>
      </c>
      <c r="R63">
        <v>617</v>
      </c>
      <c r="S63">
        <v>408</v>
      </c>
    </row>
    <row r="64" spans="1:19">
      <c r="A64" t="s">
        <v>263</v>
      </c>
      <c r="B64" s="1">
        <v>42648</v>
      </c>
      <c r="C64" s="2">
        <v>0.375</v>
      </c>
      <c r="D64" s="1">
        <v>42648</v>
      </c>
      <c r="E64" s="2">
        <v>0.75</v>
      </c>
      <c r="F64" t="s">
        <v>236</v>
      </c>
      <c r="G64" t="s">
        <v>236</v>
      </c>
      <c r="H64" s="7" t="str">
        <f t="shared" si="0"/>
        <v>No</v>
      </c>
      <c r="I64">
        <v>9</v>
      </c>
      <c r="J64" t="s">
        <v>33</v>
      </c>
      <c r="K64" t="s">
        <v>223</v>
      </c>
      <c r="L64" t="s">
        <v>224</v>
      </c>
      <c r="M64" s="1">
        <v>41928</v>
      </c>
      <c r="N64" t="s">
        <v>264</v>
      </c>
      <c r="O64">
        <v>964</v>
      </c>
      <c r="P64">
        <v>106</v>
      </c>
      <c r="Q64">
        <v>58</v>
      </c>
      <c r="R64">
        <v>2374</v>
      </c>
      <c r="S64">
        <v>1101</v>
      </c>
    </row>
    <row r="65" spans="1:19">
      <c r="A65" t="s">
        <v>254</v>
      </c>
      <c r="B65" s="1">
        <v>42652</v>
      </c>
      <c r="C65" s="2">
        <v>0.33333333333333331</v>
      </c>
      <c r="D65" s="1">
        <v>42652</v>
      </c>
      <c r="E65" s="2">
        <v>0.70833333333333337</v>
      </c>
      <c r="F65" t="s">
        <v>227</v>
      </c>
      <c r="G65" t="s">
        <v>227</v>
      </c>
      <c r="H65" s="7" t="str">
        <f t="shared" si="0"/>
        <v>No</v>
      </c>
      <c r="I65">
        <v>9</v>
      </c>
      <c r="J65" t="s">
        <v>231</v>
      </c>
      <c r="K65" t="s">
        <v>232</v>
      </c>
      <c r="L65" t="s">
        <v>255</v>
      </c>
      <c r="M65" s="1">
        <v>41786</v>
      </c>
      <c r="N65" t="s">
        <v>448</v>
      </c>
      <c r="O65">
        <v>114</v>
      </c>
      <c r="P65">
        <v>42</v>
      </c>
      <c r="Q65">
        <v>8.8000000000000007</v>
      </c>
      <c r="R65">
        <v>4064</v>
      </c>
      <c r="S65">
        <v>1480</v>
      </c>
    </row>
    <row r="66" spans="1:19">
      <c r="A66" t="s">
        <v>450</v>
      </c>
      <c r="B66" s="1">
        <v>42652</v>
      </c>
      <c r="C66" s="2">
        <v>0.33333333333333331</v>
      </c>
      <c r="D66" s="1">
        <v>42652</v>
      </c>
      <c r="E66" s="2">
        <v>0.75</v>
      </c>
      <c r="F66" t="s">
        <v>227</v>
      </c>
      <c r="G66" t="s">
        <v>227</v>
      </c>
      <c r="H66" s="7" t="str">
        <f t="shared" si="0"/>
        <v>No</v>
      </c>
      <c r="I66">
        <v>10</v>
      </c>
      <c r="J66" t="s">
        <v>33</v>
      </c>
      <c r="K66" t="s">
        <v>223</v>
      </c>
      <c r="L66" t="s">
        <v>266</v>
      </c>
      <c r="M66" s="1">
        <v>41963</v>
      </c>
      <c r="N66" t="s">
        <v>451</v>
      </c>
      <c r="O66">
        <v>594</v>
      </c>
      <c r="P66">
        <v>83</v>
      </c>
      <c r="Q66">
        <v>20</v>
      </c>
      <c r="R66">
        <v>650</v>
      </c>
      <c r="S66">
        <v>400</v>
      </c>
    </row>
    <row r="67" spans="1:19">
      <c r="A67" t="s">
        <v>276</v>
      </c>
      <c r="B67" s="1">
        <v>42653</v>
      </c>
      <c r="C67" s="2">
        <v>0.29166666666666669</v>
      </c>
      <c r="D67" s="1">
        <v>42653</v>
      </c>
      <c r="E67" s="2">
        <v>0.75</v>
      </c>
      <c r="F67" t="s">
        <v>242</v>
      </c>
      <c r="G67" t="s">
        <v>242</v>
      </c>
      <c r="H67" s="7" t="str">
        <f t="shared" si="0"/>
        <v>No</v>
      </c>
      <c r="I67">
        <v>11</v>
      </c>
      <c r="J67" t="s">
        <v>231</v>
      </c>
      <c r="K67" t="s">
        <v>223</v>
      </c>
      <c r="L67" t="s">
        <v>233</v>
      </c>
      <c r="M67" s="1">
        <v>41794</v>
      </c>
      <c r="N67" t="s">
        <v>277</v>
      </c>
      <c r="O67">
        <v>963</v>
      </c>
      <c r="P67">
        <v>106</v>
      </c>
      <c r="Q67">
        <v>28</v>
      </c>
      <c r="R67" s="3">
        <v>2106</v>
      </c>
      <c r="S67">
        <v>869</v>
      </c>
    </row>
    <row r="68" spans="1:19">
      <c r="A68" t="s">
        <v>263</v>
      </c>
      <c r="B68" s="1">
        <v>42655</v>
      </c>
      <c r="C68" s="2">
        <v>0.375</v>
      </c>
      <c r="D68" s="1">
        <v>42655</v>
      </c>
      <c r="E68" s="2">
        <v>0.75</v>
      </c>
      <c r="F68" t="s">
        <v>236</v>
      </c>
      <c r="G68" t="s">
        <v>236</v>
      </c>
      <c r="H68" s="7" t="str">
        <f t="shared" ref="H68:H79" si="1">IF(F68=G68,"No","Yes")</f>
        <v>No</v>
      </c>
      <c r="I68">
        <v>9</v>
      </c>
      <c r="J68" t="s">
        <v>33</v>
      </c>
      <c r="K68" t="s">
        <v>223</v>
      </c>
      <c r="L68" t="s">
        <v>224</v>
      </c>
      <c r="M68" s="1">
        <v>41928</v>
      </c>
      <c r="N68" t="s">
        <v>264</v>
      </c>
      <c r="O68">
        <v>964</v>
      </c>
      <c r="P68">
        <v>106</v>
      </c>
      <c r="Q68">
        <v>58</v>
      </c>
      <c r="R68">
        <v>2174</v>
      </c>
      <c r="S68">
        <v>1101</v>
      </c>
    </row>
    <row r="69" spans="1:19">
      <c r="A69" t="s">
        <v>240</v>
      </c>
      <c r="B69" s="1">
        <v>42656</v>
      </c>
      <c r="C69" s="2">
        <v>0.33333333333333331</v>
      </c>
      <c r="D69" s="1">
        <v>42656</v>
      </c>
      <c r="E69" s="2">
        <v>0.70833333333333337</v>
      </c>
      <c r="F69" t="s">
        <v>222</v>
      </c>
      <c r="G69" t="s">
        <v>222</v>
      </c>
      <c r="H69" s="7" t="str">
        <f t="shared" si="1"/>
        <v>No</v>
      </c>
      <c r="I69">
        <v>10</v>
      </c>
      <c r="J69" t="s">
        <v>231</v>
      </c>
      <c r="K69" t="s">
        <v>232</v>
      </c>
      <c r="L69" t="s">
        <v>241</v>
      </c>
      <c r="M69" s="1">
        <v>41848</v>
      </c>
      <c r="N69" t="s">
        <v>225</v>
      </c>
      <c r="O69">
        <v>965</v>
      </c>
      <c r="P69">
        <v>106</v>
      </c>
      <c r="Q69">
        <v>27</v>
      </c>
      <c r="R69" s="3">
        <v>2174</v>
      </c>
      <c r="S69">
        <v>999</v>
      </c>
    </row>
    <row r="70" spans="1:19">
      <c r="A70" t="s">
        <v>327</v>
      </c>
      <c r="B70" s="1">
        <v>42657</v>
      </c>
      <c r="C70" s="2">
        <v>0.29166666666666669</v>
      </c>
      <c r="D70" s="1">
        <v>42657</v>
      </c>
      <c r="E70" s="2">
        <v>0.75</v>
      </c>
      <c r="F70" t="s">
        <v>238</v>
      </c>
      <c r="G70" t="s">
        <v>238</v>
      </c>
      <c r="H70" s="7" t="str">
        <f t="shared" si="1"/>
        <v>No</v>
      </c>
      <c r="I70">
        <v>11</v>
      </c>
      <c r="J70" t="s">
        <v>217</v>
      </c>
      <c r="K70" t="s">
        <v>218</v>
      </c>
      <c r="M70" s="1">
        <v>42500</v>
      </c>
      <c r="N70" t="s">
        <v>460</v>
      </c>
      <c r="O70">
        <v>286.3</v>
      </c>
      <c r="P70" t="s">
        <v>465</v>
      </c>
      <c r="Q70" t="s">
        <v>465</v>
      </c>
      <c r="R70">
        <v>58</v>
      </c>
    </row>
    <row r="71" spans="1:19">
      <c r="A71" t="s">
        <v>450</v>
      </c>
      <c r="B71" s="1">
        <v>42657</v>
      </c>
      <c r="C71" s="2">
        <v>0.33333333333333331</v>
      </c>
      <c r="D71" s="1">
        <v>42657</v>
      </c>
      <c r="E71" s="2">
        <v>0.75</v>
      </c>
      <c r="F71" t="s">
        <v>238</v>
      </c>
      <c r="G71" t="s">
        <v>238</v>
      </c>
      <c r="H71" s="7" t="str">
        <f t="shared" si="1"/>
        <v>No</v>
      </c>
      <c r="I71">
        <v>10</v>
      </c>
      <c r="J71" t="s">
        <v>33</v>
      </c>
      <c r="K71" t="s">
        <v>223</v>
      </c>
      <c r="L71" t="s">
        <v>266</v>
      </c>
      <c r="M71" s="1">
        <v>41963</v>
      </c>
      <c r="N71" t="s">
        <v>451</v>
      </c>
      <c r="O71">
        <v>594</v>
      </c>
      <c r="P71">
        <v>83</v>
      </c>
      <c r="Q71">
        <v>20</v>
      </c>
      <c r="R71">
        <v>644</v>
      </c>
      <c r="S71">
        <v>400</v>
      </c>
    </row>
    <row r="72" spans="1:19">
      <c r="A72" t="s">
        <v>257</v>
      </c>
      <c r="B72" s="1">
        <v>42657</v>
      </c>
      <c r="C72" s="2">
        <v>0.33333333333333331</v>
      </c>
      <c r="D72" s="1">
        <v>42657</v>
      </c>
      <c r="E72" s="2">
        <v>0.70833333333333337</v>
      </c>
      <c r="F72" t="s">
        <v>238</v>
      </c>
      <c r="G72" t="s">
        <v>238</v>
      </c>
      <c r="H72" s="7" t="str">
        <f t="shared" si="1"/>
        <v>No</v>
      </c>
      <c r="I72">
        <v>9</v>
      </c>
      <c r="J72" t="s">
        <v>231</v>
      </c>
      <c r="K72" t="s">
        <v>218</v>
      </c>
      <c r="L72" t="s">
        <v>258</v>
      </c>
      <c r="M72" s="1">
        <v>42045</v>
      </c>
      <c r="N72" t="s">
        <v>453</v>
      </c>
      <c r="O72">
        <v>935</v>
      </c>
      <c r="P72">
        <v>106</v>
      </c>
      <c r="Q72">
        <v>26</v>
      </c>
      <c r="R72" s="3">
        <v>1805</v>
      </c>
      <c r="S72">
        <v>812</v>
      </c>
    </row>
    <row r="73" spans="1:19">
      <c r="A73" t="s">
        <v>215</v>
      </c>
      <c r="B73" s="1">
        <v>42659</v>
      </c>
      <c r="C73" s="2">
        <v>0.29166666666666669</v>
      </c>
      <c r="D73" s="1">
        <v>42659</v>
      </c>
      <c r="E73" s="2">
        <v>0.58333333333333337</v>
      </c>
      <c r="F73" t="s">
        <v>227</v>
      </c>
      <c r="G73" t="s">
        <v>227</v>
      </c>
      <c r="H73" s="7" t="str">
        <f t="shared" si="1"/>
        <v>No</v>
      </c>
      <c r="J73" t="s">
        <v>217</v>
      </c>
      <c r="K73" t="s">
        <v>218</v>
      </c>
      <c r="L73" t="s">
        <v>219</v>
      </c>
      <c r="M73" s="1">
        <v>42312</v>
      </c>
      <c r="N73" t="s">
        <v>443</v>
      </c>
      <c r="O73">
        <v>325</v>
      </c>
      <c r="P73" t="s">
        <v>465</v>
      </c>
      <c r="Q73" t="s">
        <v>465</v>
      </c>
      <c r="R73">
        <v>123</v>
      </c>
      <c r="S73">
        <v>65</v>
      </c>
    </row>
    <row r="74" spans="1:19">
      <c r="A74" t="s">
        <v>230</v>
      </c>
      <c r="B74" s="1">
        <v>42659</v>
      </c>
      <c r="C74" s="2">
        <v>0.33333333333333331</v>
      </c>
      <c r="D74" s="1">
        <v>42659</v>
      </c>
      <c r="E74" s="2">
        <v>0.70833333333333337</v>
      </c>
      <c r="F74" t="s">
        <v>227</v>
      </c>
      <c r="G74" t="s">
        <v>227</v>
      </c>
      <c r="H74" s="7" t="str">
        <f t="shared" si="1"/>
        <v>No</v>
      </c>
      <c r="I74">
        <v>9</v>
      </c>
      <c r="J74" t="s">
        <v>231</v>
      </c>
      <c r="K74" t="s">
        <v>232</v>
      </c>
      <c r="L74" t="s">
        <v>233</v>
      </c>
      <c r="M74" s="1">
        <v>41872</v>
      </c>
      <c r="N74" t="s">
        <v>234</v>
      </c>
      <c r="O74">
        <v>918</v>
      </c>
      <c r="P74">
        <v>106</v>
      </c>
      <c r="Q74">
        <v>26</v>
      </c>
      <c r="R74" s="3">
        <v>1931</v>
      </c>
      <c r="S74">
        <v>760</v>
      </c>
    </row>
    <row r="75" spans="1:19">
      <c r="A75" t="s">
        <v>276</v>
      </c>
      <c r="B75" s="1">
        <v>42660</v>
      </c>
      <c r="C75" s="2">
        <v>0.29166666666666669</v>
      </c>
      <c r="D75" s="1">
        <v>42660</v>
      </c>
      <c r="E75" s="2">
        <v>0.75</v>
      </c>
      <c r="F75" t="s">
        <v>242</v>
      </c>
      <c r="G75" t="s">
        <v>242</v>
      </c>
      <c r="H75" s="7" t="str">
        <f t="shared" si="1"/>
        <v>No</v>
      </c>
      <c r="I75">
        <v>11</v>
      </c>
      <c r="J75" t="s">
        <v>231</v>
      </c>
      <c r="K75" t="s">
        <v>232</v>
      </c>
      <c r="L75" t="s">
        <v>233</v>
      </c>
      <c r="M75" s="1">
        <v>41794</v>
      </c>
      <c r="N75" t="s">
        <v>277</v>
      </c>
      <c r="O75">
        <v>963</v>
      </c>
      <c r="P75">
        <v>106</v>
      </c>
      <c r="Q75">
        <v>28</v>
      </c>
      <c r="R75" s="3">
        <v>2142</v>
      </c>
      <c r="S75">
        <v>869</v>
      </c>
    </row>
    <row r="76" spans="1:19">
      <c r="A76" t="s">
        <v>276</v>
      </c>
      <c r="B76" s="1">
        <v>42667</v>
      </c>
      <c r="C76" s="2">
        <v>0.29166666666666669</v>
      </c>
      <c r="D76" s="1">
        <v>42667</v>
      </c>
      <c r="E76" s="2">
        <v>0.75</v>
      </c>
      <c r="F76" t="s">
        <v>242</v>
      </c>
      <c r="G76" t="s">
        <v>242</v>
      </c>
      <c r="H76" s="7" t="str">
        <f t="shared" si="1"/>
        <v>No</v>
      </c>
      <c r="I76">
        <v>11</v>
      </c>
      <c r="J76" t="s">
        <v>231</v>
      </c>
      <c r="K76" t="s">
        <v>232</v>
      </c>
      <c r="L76" t="s">
        <v>233</v>
      </c>
      <c r="M76" s="1">
        <v>41794</v>
      </c>
      <c r="N76" t="s">
        <v>277</v>
      </c>
      <c r="O76">
        <v>963</v>
      </c>
      <c r="P76">
        <v>106</v>
      </c>
      <c r="Q76">
        <v>28</v>
      </c>
      <c r="R76" s="3">
        <v>2138</v>
      </c>
      <c r="S76">
        <v>869</v>
      </c>
    </row>
    <row r="77" spans="1:19">
      <c r="A77" t="s">
        <v>461</v>
      </c>
      <c r="B77" s="1">
        <v>42668</v>
      </c>
      <c r="C77" s="2">
        <v>0.33333333333333331</v>
      </c>
      <c r="D77" s="1">
        <v>42668</v>
      </c>
      <c r="E77" s="2">
        <v>0.75</v>
      </c>
      <c r="F77" t="s">
        <v>235</v>
      </c>
      <c r="G77" t="s">
        <v>235</v>
      </c>
      <c r="H77" s="7" t="str">
        <f t="shared" si="1"/>
        <v>No</v>
      </c>
      <c r="I77">
        <v>10</v>
      </c>
      <c r="J77" t="s">
        <v>33</v>
      </c>
      <c r="K77" t="s">
        <v>360</v>
      </c>
      <c r="L77" t="s">
        <v>266</v>
      </c>
      <c r="M77" s="1">
        <v>42667</v>
      </c>
      <c r="N77" t="s">
        <v>451</v>
      </c>
      <c r="O77">
        <v>594</v>
      </c>
      <c r="P77">
        <v>83</v>
      </c>
      <c r="Q77">
        <v>20</v>
      </c>
      <c r="R77">
        <v>604</v>
      </c>
      <c r="S77">
        <v>826</v>
      </c>
    </row>
    <row r="78" spans="1:19">
      <c r="A78" t="s">
        <v>435</v>
      </c>
      <c r="B78" s="1">
        <v>42670</v>
      </c>
      <c r="C78" s="2">
        <v>0.33333333333333331</v>
      </c>
      <c r="D78" s="1">
        <v>42670</v>
      </c>
      <c r="E78" s="2">
        <v>0.75</v>
      </c>
      <c r="F78" t="s">
        <v>222</v>
      </c>
      <c r="G78" t="s">
        <v>222</v>
      </c>
      <c r="H78" s="7" t="str">
        <f t="shared" si="1"/>
        <v>No</v>
      </c>
      <c r="I78">
        <v>12</v>
      </c>
      <c r="J78" t="s">
        <v>33</v>
      </c>
      <c r="K78" t="s">
        <v>223</v>
      </c>
      <c r="L78" t="s">
        <v>462</v>
      </c>
      <c r="M78" s="1">
        <v>41963</v>
      </c>
      <c r="N78" t="s">
        <v>463</v>
      </c>
      <c r="O78">
        <v>709</v>
      </c>
      <c r="P78">
        <v>94</v>
      </c>
      <c r="Q78">
        <v>24</v>
      </c>
      <c r="R78">
        <v>673</v>
      </c>
      <c r="S78">
        <v>440</v>
      </c>
    </row>
    <row r="79" spans="1:19">
      <c r="A79" t="s">
        <v>432</v>
      </c>
      <c r="B79" s="1">
        <v>42672</v>
      </c>
      <c r="C79" s="2">
        <v>0.41666666666666669</v>
      </c>
      <c r="D79" s="1">
        <v>42672</v>
      </c>
      <c r="E79" s="2">
        <v>0.91666666666666663</v>
      </c>
      <c r="F79" t="s">
        <v>216</v>
      </c>
      <c r="G79" t="s">
        <v>216</v>
      </c>
      <c r="H79" s="7" t="str">
        <f t="shared" si="1"/>
        <v>No</v>
      </c>
      <c r="I79">
        <v>12</v>
      </c>
      <c r="J79" t="s">
        <v>33</v>
      </c>
      <c r="K79" t="s">
        <v>223</v>
      </c>
      <c r="L79" t="s">
        <v>336</v>
      </c>
      <c r="M79" s="1">
        <v>41981</v>
      </c>
      <c r="N79" t="s">
        <v>464</v>
      </c>
      <c r="O79">
        <v>831</v>
      </c>
      <c r="P79">
        <v>106</v>
      </c>
      <c r="Q79">
        <v>22</v>
      </c>
      <c r="R79" s="3">
        <v>2130</v>
      </c>
      <c r="S79">
        <v>677</v>
      </c>
    </row>
    <row r="81" spans="5:12">
      <c r="E81">
        <v>100546</v>
      </c>
      <c r="L81">
        <v>41298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3C58-0C00-435B-BBE7-A4D213899599}">
  <dimension ref="A1:S85"/>
  <sheetViews>
    <sheetView workbookViewId="0">
      <selection sqref="A1:XFD1"/>
    </sheetView>
  </sheetViews>
  <sheetFormatPr defaultRowHeight="14.5"/>
  <cols>
    <col min="1" max="1" width="18.54296875" bestFit="1" customWidth="1"/>
    <col min="2" max="2" width="10.453125" bestFit="1" customWidth="1"/>
    <col min="3" max="3" width="7.36328125" bestFit="1" customWidth="1"/>
    <col min="4" max="4" width="10.453125" bestFit="1" customWidth="1"/>
    <col min="8" max="8" width="8.7265625" style="7"/>
    <col min="13" max="13" width="10.453125" bestFit="1" customWidth="1"/>
    <col min="14" max="14" width="18.36328125" bestFit="1" customWidth="1"/>
    <col min="16" max="17" width="8.7265625" style="7"/>
  </cols>
  <sheetData>
    <row r="1" spans="1:19">
      <c r="A1" s="18" t="s">
        <v>203</v>
      </c>
      <c r="B1" s="18" t="s">
        <v>312</v>
      </c>
      <c r="C1" s="18" t="s">
        <v>204</v>
      </c>
      <c r="D1" s="18" t="s">
        <v>205</v>
      </c>
      <c r="E1" s="18" t="s">
        <v>204</v>
      </c>
      <c r="F1" s="18" t="s">
        <v>206</v>
      </c>
      <c r="G1" s="18" t="s">
        <v>207</v>
      </c>
      <c r="H1" s="18" t="s">
        <v>439</v>
      </c>
      <c r="I1" s="18" t="s">
        <v>436</v>
      </c>
      <c r="J1" s="18" t="s">
        <v>209</v>
      </c>
      <c r="K1" s="18" t="s">
        <v>210</v>
      </c>
      <c r="L1" s="18" t="s">
        <v>211</v>
      </c>
      <c r="M1" s="18" t="s">
        <v>212</v>
      </c>
      <c r="N1" s="18" t="s">
        <v>213</v>
      </c>
      <c r="O1" s="18" t="s">
        <v>379</v>
      </c>
      <c r="P1" s="18" t="s">
        <v>433</v>
      </c>
      <c r="Q1" s="18" t="s">
        <v>434</v>
      </c>
      <c r="R1" s="18" t="s">
        <v>313</v>
      </c>
      <c r="S1" s="18" t="s">
        <v>214</v>
      </c>
    </row>
    <row r="2" spans="1:19">
      <c r="A2" t="s">
        <v>203</v>
      </c>
      <c r="B2" t="s">
        <v>312</v>
      </c>
      <c r="C2" t="s">
        <v>204</v>
      </c>
      <c r="D2" t="s">
        <v>205</v>
      </c>
      <c r="E2" t="s">
        <v>204</v>
      </c>
      <c r="F2" t="s">
        <v>206</v>
      </c>
      <c r="G2" t="s">
        <v>207</v>
      </c>
      <c r="H2" s="7" t="s">
        <v>378</v>
      </c>
      <c r="I2" t="s">
        <v>208</v>
      </c>
      <c r="J2" t="s">
        <v>209</v>
      </c>
      <c r="K2" t="s">
        <v>210</v>
      </c>
      <c r="L2" t="s">
        <v>211</v>
      </c>
      <c r="M2" t="s">
        <v>212</v>
      </c>
      <c r="N2" t="s">
        <v>213</v>
      </c>
      <c r="O2" t="s">
        <v>379</v>
      </c>
      <c r="P2" s="7" t="s">
        <v>433</v>
      </c>
      <c r="Q2" s="7" t="s">
        <v>434</v>
      </c>
      <c r="R2" t="s">
        <v>313</v>
      </c>
      <c r="S2" t="s">
        <v>214</v>
      </c>
    </row>
    <row r="3" spans="1:19">
      <c r="A3" t="s">
        <v>322</v>
      </c>
      <c r="B3" s="1">
        <v>42134</v>
      </c>
      <c r="C3">
        <v>800</v>
      </c>
      <c r="D3" s="1">
        <v>42134</v>
      </c>
      <c r="E3" s="2">
        <v>0.70833333333333337</v>
      </c>
      <c r="F3" t="s">
        <v>227</v>
      </c>
      <c r="G3" t="s">
        <v>412</v>
      </c>
      <c r="H3" s="7" t="str">
        <f>IF(F3=G3,"No","Yes")</f>
        <v>Yes</v>
      </c>
      <c r="J3" t="s">
        <v>33</v>
      </c>
      <c r="K3" t="s">
        <v>218</v>
      </c>
      <c r="L3" t="s">
        <v>323</v>
      </c>
      <c r="M3" s="1">
        <v>41417</v>
      </c>
      <c r="N3" t="s">
        <v>324</v>
      </c>
      <c r="O3" s="5">
        <v>785</v>
      </c>
      <c r="R3">
        <v>0</v>
      </c>
      <c r="S3">
        <v>0</v>
      </c>
    </row>
    <row r="4" spans="1:19">
      <c r="A4" t="s">
        <v>444</v>
      </c>
      <c r="B4" s="1">
        <v>42142</v>
      </c>
      <c r="C4" s="2">
        <v>0.5</v>
      </c>
      <c r="D4" s="1">
        <v>42142</v>
      </c>
      <c r="E4" s="2">
        <v>0.25</v>
      </c>
      <c r="F4" t="s">
        <v>242</v>
      </c>
      <c r="G4" t="s">
        <v>395</v>
      </c>
      <c r="H4" s="7" t="str">
        <f t="shared" ref="H4:H61" si="0">IF(F4=G4,"No","Yes")</f>
        <v>Yes</v>
      </c>
      <c r="J4" t="s">
        <v>33</v>
      </c>
      <c r="K4" t="s">
        <v>228</v>
      </c>
      <c r="L4" t="s">
        <v>228</v>
      </c>
      <c r="M4" s="1">
        <v>41855</v>
      </c>
      <c r="N4" t="s">
        <v>445</v>
      </c>
      <c r="O4" s="5">
        <v>166</v>
      </c>
      <c r="R4">
        <v>80</v>
      </c>
      <c r="S4">
        <v>13</v>
      </c>
    </row>
    <row r="5" spans="1:19">
      <c r="A5" t="s">
        <v>237</v>
      </c>
      <c r="B5" s="1">
        <v>42160</v>
      </c>
      <c r="C5" s="2">
        <v>0.70833333333333337</v>
      </c>
      <c r="D5" s="1">
        <v>42161</v>
      </c>
      <c r="E5" s="2">
        <v>0.5625</v>
      </c>
      <c r="F5" t="s">
        <v>238</v>
      </c>
      <c r="G5" t="s">
        <v>424</v>
      </c>
      <c r="H5" s="7" t="str">
        <f t="shared" si="0"/>
        <v>Yes</v>
      </c>
      <c r="J5" t="s">
        <v>33</v>
      </c>
      <c r="K5" t="s">
        <v>228</v>
      </c>
      <c r="L5" t="s">
        <v>228</v>
      </c>
      <c r="M5" s="1">
        <v>41852</v>
      </c>
      <c r="N5" t="s">
        <v>239</v>
      </c>
      <c r="O5" s="5">
        <v>215</v>
      </c>
      <c r="R5">
        <v>114</v>
      </c>
      <c r="S5">
        <v>26</v>
      </c>
    </row>
    <row r="6" spans="1:19">
      <c r="A6" t="s">
        <v>466</v>
      </c>
      <c r="B6" s="1">
        <v>42163</v>
      </c>
      <c r="C6" s="2">
        <v>0.25</v>
      </c>
      <c r="D6" s="1">
        <v>42163</v>
      </c>
      <c r="E6" s="2">
        <v>0.77083333333333337</v>
      </c>
      <c r="F6" t="s">
        <v>242</v>
      </c>
      <c r="G6" t="s">
        <v>242</v>
      </c>
      <c r="H6" s="7" t="str">
        <f t="shared" si="0"/>
        <v>No</v>
      </c>
      <c r="I6" t="s">
        <v>208</v>
      </c>
      <c r="J6" t="s">
        <v>33</v>
      </c>
      <c r="K6" t="s">
        <v>218</v>
      </c>
      <c r="L6" t="s">
        <v>467</v>
      </c>
      <c r="M6" s="1">
        <v>41852</v>
      </c>
      <c r="N6" t="s">
        <v>460</v>
      </c>
      <c r="O6" s="5">
        <v>286.3</v>
      </c>
      <c r="R6">
        <v>109</v>
      </c>
    </row>
    <row r="7" spans="1:19">
      <c r="A7" t="s">
        <v>263</v>
      </c>
      <c r="B7" s="1">
        <v>42166</v>
      </c>
      <c r="C7" s="2">
        <v>0.33333333333333331</v>
      </c>
      <c r="D7" s="1">
        <v>42166</v>
      </c>
      <c r="E7" s="2">
        <v>0.70833333333333337</v>
      </c>
      <c r="F7" t="s">
        <v>222</v>
      </c>
      <c r="G7" t="s">
        <v>410</v>
      </c>
      <c r="H7" s="7" t="str">
        <f t="shared" si="0"/>
        <v>Yes</v>
      </c>
      <c r="J7" t="s">
        <v>33</v>
      </c>
      <c r="K7" t="s">
        <v>223</v>
      </c>
      <c r="L7" t="s">
        <v>224</v>
      </c>
      <c r="M7" s="1">
        <v>41339</v>
      </c>
      <c r="N7" t="s">
        <v>468</v>
      </c>
      <c r="O7" s="5">
        <v>965</v>
      </c>
      <c r="R7">
        <v>2530</v>
      </c>
      <c r="S7">
        <v>1101</v>
      </c>
    </row>
    <row r="8" spans="1:19">
      <c r="A8" t="s">
        <v>237</v>
      </c>
      <c r="B8" s="1">
        <v>42167</v>
      </c>
      <c r="C8" s="2">
        <v>0.70833333333333337</v>
      </c>
      <c r="D8" s="1">
        <v>42168</v>
      </c>
      <c r="E8" s="2">
        <v>0.5625</v>
      </c>
      <c r="F8" t="s">
        <v>238</v>
      </c>
      <c r="G8" t="s">
        <v>424</v>
      </c>
      <c r="H8" s="7" t="str">
        <f t="shared" si="0"/>
        <v>Yes</v>
      </c>
      <c r="J8" t="s">
        <v>33</v>
      </c>
      <c r="K8" t="s">
        <v>228</v>
      </c>
      <c r="L8" t="s">
        <v>228</v>
      </c>
      <c r="M8" s="1">
        <v>41855</v>
      </c>
      <c r="N8" t="s">
        <v>239</v>
      </c>
      <c r="O8" s="5">
        <v>215</v>
      </c>
      <c r="R8">
        <v>58</v>
      </c>
      <c r="S8">
        <v>26</v>
      </c>
    </row>
    <row r="9" spans="1:19">
      <c r="A9" t="s">
        <v>215</v>
      </c>
      <c r="B9" s="1">
        <v>42168</v>
      </c>
      <c r="C9" s="2">
        <v>0.14583333333333334</v>
      </c>
      <c r="D9" s="1">
        <v>42168</v>
      </c>
      <c r="E9" s="2">
        <v>0.625</v>
      </c>
      <c r="F9" t="s">
        <v>216</v>
      </c>
      <c r="G9" t="s">
        <v>216</v>
      </c>
      <c r="H9" s="7" t="str">
        <f t="shared" si="0"/>
        <v>No</v>
      </c>
      <c r="I9" t="s">
        <v>208</v>
      </c>
      <c r="J9" t="s">
        <v>217</v>
      </c>
      <c r="K9" t="s">
        <v>218</v>
      </c>
      <c r="L9" t="s">
        <v>219</v>
      </c>
      <c r="M9" s="1">
        <v>42024</v>
      </c>
      <c r="N9" t="s">
        <v>443</v>
      </c>
      <c r="O9" s="5">
        <v>325</v>
      </c>
      <c r="R9">
        <v>181</v>
      </c>
      <c r="S9">
        <v>65</v>
      </c>
    </row>
    <row r="10" spans="1:19">
      <c r="A10" t="s">
        <v>237</v>
      </c>
      <c r="B10" s="1">
        <v>42174</v>
      </c>
      <c r="C10" s="2">
        <v>0.70833333333333337</v>
      </c>
      <c r="D10" s="1">
        <v>42175</v>
      </c>
      <c r="E10" s="2">
        <v>0.5625</v>
      </c>
      <c r="F10" t="s">
        <v>238</v>
      </c>
      <c r="G10" t="s">
        <v>424</v>
      </c>
      <c r="H10" s="7" t="str">
        <f t="shared" si="0"/>
        <v>Yes</v>
      </c>
      <c r="J10" t="s">
        <v>33</v>
      </c>
      <c r="K10" t="s">
        <v>228</v>
      </c>
      <c r="L10" t="s">
        <v>228</v>
      </c>
      <c r="M10" s="1">
        <v>41855</v>
      </c>
      <c r="N10" t="s">
        <v>239</v>
      </c>
      <c r="O10" s="5">
        <v>215</v>
      </c>
      <c r="R10">
        <v>75</v>
      </c>
      <c r="S10">
        <v>26</v>
      </c>
    </row>
    <row r="11" spans="1:19">
      <c r="A11" t="s">
        <v>444</v>
      </c>
      <c r="B11" s="1">
        <v>42177</v>
      </c>
      <c r="C11" s="2">
        <v>0.58333333333333337</v>
      </c>
      <c r="D11" s="1">
        <v>42178</v>
      </c>
      <c r="E11" s="2">
        <v>0.5625</v>
      </c>
      <c r="F11" t="s">
        <v>242</v>
      </c>
      <c r="G11" t="s">
        <v>400</v>
      </c>
      <c r="H11" s="7" t="str">
        <f t="shared" si="0"/>
        <v>Yes</v>
      </c>
      <c r="J11" t="s">
        <v>33</v>
      </c>
      <c r="K11" t="s">
        <v>228</v>
      </c>
      <c r="L11" t="s">
        <v>228</v>
      </c>
      <c r="M11" s="1">
        <v>41855</v>
      </c>
      <c r="N11" t="s">
        <v>445</v>
      </c>
      <c r="O11" s="5">
        <v>166</v>
      </c>
      <c r="R11">
        <v>0</v>
      </c>
      <c r="S11">
        <v>13</v>
      </c>
    </row>
    <row r="12" spans="1:19">
      <c r="A12" t="s">
        <v>263</v>
      </c>
      <c r="B12" s="1">
        <v>42180</v>
      </c>
      <c r="C12" s="2">
        <v>0.33333333333333331</v>
      </c>
      <c r="D12" s="1">
        <v>42180</v>
      </c>
      <c r="E12" s="2">
        <v>0.70833333333333337</v>
      </c>
      <c r="F12" t="s">
        <v>222</v>
      </c>
      <c r="G12" t="s">
        <v>410</v>
      </c>
      <c r="H12" s="7" t="str">
        <f t="shared" si="0"/>
        <v>Yes</v>
      </c>
      <c r="J12" t="s">
        <v>33</v>
      </c>
      <c r="K12" t="s">
        <v>223</v>
      </c>
      <c r="L12" t="s">
        <v>224</v>
      </c>
      <c r="M12" s="1">
        <v>41339</v>
      </c>
      <c r="N12" t="s">
        <v>468</v>
      </c>
      <c r="O12" s="5">
        <v>965</v>
      </c>
      <c r="R12">
        <v>2585</v>
      </c>
      <c r="S12">
        <v>1101</v>
      </c>
    </row>
    <row r="13" spans="1:19">
      <c r="A13" t="s">
        <v>237</v>
      </c>
      <c r="B13" s="1">
        <v>42181</v>
      </c>
      <c r="C13" s="2">
        <v>0.70833333333333337</v>
      </c>
      <c r="D13" s="1">
        <v>42182</v>
      </c>
      <c r="E13" s="2">
        <v>0.5625</v>
      </c>
      <c r="F13" t="s">
        <v>238</v>
      </c>
      <c r="G13" t="s">
        <v>424</v>
      </c>
      <c r="H13" s="7" t="str">
        <f t="shared" si="0"/>
        <v>Yes</v>
      </c>
      <c r="J13" t="s">
        <v>33</v>
      </c>
      <c r="K13" t="s">
        <v>228</v>
      </c>
      <c r="L13" t="s">
        <v>228</v>
      </c>
      <c r="M13" s="1">
        <v>41855</v>
      </c>
      <c r="N13" t="s">
        <v>239</v>
      </c>
      <c r="O13" s="5">
        <v>215</v>
      </c>
      <c r="R13">
        <v>69</v>
      </c>
      <c r="S13">
        <v>26</v>
      </c>
    </row>
    <row r="14" spans="1:19">
      <c r="A14" t="s">
        <v>237</v>
      </c>
      <c r="B14" s="1">
        <v>42188</v>
      </c>
      <c r="C14" s="2">
        <v>0.70833333333333337</v>
      </c>
      <c r="D14" s="1">
        <v>42189</v>
      </c>
      <c r="E14" s="2">
        <v>0.5625</v>
      </c>
      <c r="F14" t="s">
        <v>238</v>
      </c>
      <c r="G14" t="s">
        <v>424</v>
      </c>
      <c r="H14" s="7" t="str">
        <f t="shared" si="0"/>
        <v>Yes</v>
      </c>
      <c r="J14" t="s">
        <v>33</v>
      </c>
      <c r="K14" t="s">
        <v>228</v>
      </c>
      <c r="L14" t="s">
        <v>228</v>
      </c>
      <c r="M14" s="1">
        <v>41855</v>
      </c>
      <c r="N14" t="s">
        <v>239</v>
      </c>
      <c r="O14" s="5">
        <v>215</v>
      </c>
      <c r="R14">
        <v>78</v>
      </c>
      <c r="S14">
        <v>26</v>
      </c>
    </row>
    <row r="15" spans="1:19">
      <c r="A15" t="s">
        <v>215</v>
      </c>
      <c r="B15" s="1">
        <v>42189</v>
      </c>
      <c r="C15" s="2">
        <v>0.14583333333333334</v>
      </c>
      <c r="D15" s="1">
        <v>42189</v>
      </c>
      <c r="E15" s="2">
        <v>0.625</v>
      </c>
      <c r="F15" t="s">
        <v>216</v>
      </c>
      <c r="G15" t="s">
        <v>216</v>
      </c>
      <c r="H15" s="7" t="str">
        <f t="shared" si="0"/>
        <v>No</v>
      </c>
      <c r="I15" t="s">
        <v>208</v>
      </c>
      <c r="J15" t="s">
        <v>217</v>
      </c>
      <c r="K15" t="s">
        <v>218</v>
      </c>
      <c r="L15" t="s">
        <v>219</v>
      </c>
      <c r="M15" s="1">
        <v>42024</v>
      </c>
      <c r="N15" t="s">
        <v>443</v>
      </c>
      <c r="O15" s="5">
        <v>325</v>
      </c>
      <c r="R15">
        <v>145</v>
      </c>
      <c r="S15">
        <v>65</v>
      </c>
    </row>
    <row r="16" spans="1:19">
      <c r="A16" t="s">
        <v>237</v>
      </c>
      <c r="B16" s="1">
        <v>42195</v>
      </c>
      <c r="C16" s="2">
        <v>0.70833333333333337</v>
      </c>
      <c r="D16" s="1">
        <v>42196</v>
      </c>
      <c r="E16" s="2">
        <v>0.5625</v>
      </c>
      <c r="F16" t="s">
        <v>238</v>
      </c>
      <c r="G16" t="s">
        <v>424</v>
      </c>
      <c r="H16" s="7" t="str">
        <f t="shared" si="0"/>
        <v>Yes</v>
      </c>
      <c r="J16" t="s">
        <v>33</v>
      </c>
      <c r="K16" t="s">
        <v>228</v>
      </c>
      <c r="L16" t="s">
        <v>228</v>
      </c>
      <c r="M16" s="1">
        <v>41855</v>
      </c>
      <c r="N16" t="s">
        <v>239</v>
      </c>
      <c r="O16" s="5">
        <v>215</v>
      </c>
      <c r="R16">
        <v>36</v>
      </c>
      <c r="S16">
        <v>26</v>
      </c>
    </row>
    <row r="17" spans="1:19">
      <c r="A17" t="s">
        <v>237</v>
      </c>
      <c r="B17" s="1">
        <v>42202</v>
      </c>
      <c r="C17" s="2">
        <v>0.70833333333333337</v>
      </c>
      <c r="D17" s="1">
        <v>42203</v>
      </c>
      <c r="E17" s="2">
        <v>0.5625</v>
      </c>
      <c r="F17" t="s">
        <v>238</v>
      </c>
      <c r="G17" t="s">
        <v>424</v>
      </c>
      <c r="H17" s="7" t="str">
        <f t="shared" si="0"/>
        <v>Yes</v>
      </c>
      <c r="J17" t="s">
        <v>33</v>
      </c>
      <c r="K17" t="s">
        <v>228</v>
      </c>
      <c r="L17" t="s">
        <v>228</v>
      </c>
      <c r="M17" s="1">
        <v>41855</v>
      </c>
      <c r="N17" t="s">
        <v>239</v>
      </c>
      <c r="O17" s="5">
        <v>215</v>
      </c>
      <c r="R17">
        <v>88</v>
      </c>
      <c r="S17">
        <v>26</v>
      </c>
    </row>
    <row r="18" spans="1:19">
      <c r="A18" t="s">
        <v>444</v>
      </c>
      <c r="B18" s="1">
        <v>42202</v>
      </c>
      <c r="C18" s="2">
        <v>0.58333333333333337</v>
      </c>
      <c r="D18" s="1">
        <v>42203</v>
      </c>
      <c r="E18" s="2">
        <v>0.5625</v>
      </c>
      <c r="F18" t="s">
        <v>238</v>
      </c>
      <c r="G18" t="s">
        <v>424</v>
      </c>
      <c r="H18" s="7" t="str">
        <f t="shared" si="0"/>
        <v>Yes</v>
      </c>
      <c r="J18" t="s">
        <v>33</v>
      </c>
      <c r="K18" t="s">
        <v>228</v>
      </c>
      <c r="L18" t="s">
        <v>228</v>
      </c>
      <c r="M18" s="1">
        <v>41855</v>
      </c>
      <c r="N18" t="s">
        <v>445</v>
      </c>
      <c r="O18" s="5">
        <v>166</v>
      </c>
      <c r="R18">
        <v>36</v>
      </c>
      <c r="S18">
        <v>13</v>
      </c>
    </row>
    <row r="19" spans="1:19">
      <c r="A19" t="s">
        <v>469</v>
      </c>
      <c r="B19" s="1">
        <v>42205</v>
      </c>
      <c r="C19" s="2">
        <v>0.70833333333333337</v>
      </c>
      <c r="D19" s="1">
        <v>42208</v>
      </c>
      <c r="E19" s="2">
        <v>0.29166666666666669</v>
      </c>
      <c r="F19" t="s">
        <v>242</v>
      </c>
      <c r="G19" t="s">
        <v>222</v>
      </c>
      <c r="H19" s="7" t="str">
        <f t="shared" si="0"/>
        <v>Yes</v>
      </c>
      <c r="J19" t="s">
        <v>33</v>
      </c>
      <c r="K19" t="s">
        <v>340</v>
      </c>
      <c r="L19" t="s">
        <v>340</v>
      </c>
      <c r="M19" s="1">
        <v>41779</v>
      </c>
      <c r="N19" t="s">
        <v>470</v>
      </c>
      <c r="O19" s="5">
        <v>184</v>
      </c>
      <c r="R19">
        <v>31</v>
      </c>
    </row>
    <row r="20" spans="1:19">
      <c r="A20" t="s">
        <v>237</v>
      </c>
      <c r="B20" s="1">
        <v>42209</v>
      </c>
      <c r="C20" s="2">
        <v>0.70833333333333337</v>
      </c>
      <c r="D20" s="1">
        <v>42210</v>
      </c>
      <c r="E20" s="2">
        <v>0.5625</v>
      </c>
      <c r="F20" t="s">
        <v>238</v>
      </c>
      <c r="G20" t="s">
        <v>424</v>
      </c>
      <c r="H20" s="7" t="str">
        <f t="shared" si="0"/>
        <v>Yes</v>
      </c>
      <c r="J20" t="s">
        <v>33</v>
      </c>
      <c r="K20" t="s">
        <v>228</v>
      </c>
      <c r="L20" t="s">
        <v>228</v>
      </c>
      <c r="M20" s="1">
        <v>41855</v>
      </c>
      <c r="N20" t="s">
        <v>239</v>
      </c>
      <c r="O20" s="5">
        <v>215</v>
      </c>
      <c r="R20">
        <v>92</v>
      </c>
      <c r="S20">
        <v>26</v>
      </c>
    </row>
    <row r="21" spans="1:19">
      <c r="A21" t="s">
        <v>444</v>
      </c>
      <c r="B21" s="1">
        <v>42209</v>
      </c>
      <c r="C21" s="2">
        <v>0.70833333333333337</v>
      </c>
      <c r="D21" s="1">
        <v>42210</v>
      </c>
      <c r="E21" s="2">
        <v>0.5625</v>
      </c>
      <c r="F21" t="s">
        <v>238</v>
      </c>
      <c r="G21" t="s">
        <v>424</v>
      </c>
      <c r="H21" s="7" t="str">
        <f t="shared" si="0"/>
        <v>Yes</v>
      </c>
      <c r="J21" t="s">
        <v>33</v>
      </c>
      <c r="K21" t="s">
        <v>228</v>
      </c>
      <c r="L21" t="s">
        <v>228</v>
      </c>
      <c r="M21" s="1">
        <v>41855</v>
      </c>
      <c r="N21" t="s">
        <v>445</v>
      </c>
      <c r="O21" s="5">
        <v>166</v>
      </c>
      <c r="R21">
        <v>45</v>
      </c>
      <c r="S21">
        <v>13</v>
      </c>
    </row>
    <row r="22" spans="1:19">
      <c r="A22" t="s">
        <v>237</v>
      </c>
      <c r="B22" s="1">
        <v>42216</v>
      </c>
      <c r="C22" s="2">
        <v>0.70833333333333337</v>
      </c>
      <c r="D22" s="1">
        <v>42217</v>
      </c>
      <c r="E22" s="2">
        <v>0.5625</v>
      </c>
      <c r="F22" t="s">
        <v>238</v>
      </c>
      <c r="G22" t="s">
        <v>424</v>
      </c>
      <c r="H22" s="7" t="str">
        <f t="shared" si="0"/>
        <v>Yes</v>
      </c>
      <c r="J22" t="s">
        <v>33</v>
      </c>
      <c r="K22" t="s">
        <v>228</v>
      </c>
      <c r="L22" t="s">
        <v>228</v>
      </c>
      <c r="M22" s="1">
        <v>41855</v>
      </c>
      <c r="N22" t="s">
        <v>239</v>
      </c>
      <c r="O22" s="5">
        <v>215</v>
      </c>
      <c r="R22">
        <v>92</v>
      </c>
      <c r="S22">
        <v>26</v>
      </c>
    </row>
    <row r="23" spans="1:19">
      <c r="A23" t="s">
        <v>444</v>
      </c>
      <c r="B23" s="1">
        <v>42216</v>
      </c>
      <c r="C23" s="2">
        <v>0.83333333333333337</v>
      </c>
      <c r="D23" s="1">
        <v>42217</v>
      </c>
      <c r="E23" s="2">
        <v>0.5625</v>
      </c>
      <c r="F23" t="s">
        <v>238</v>
      </c>
      <c r="G23" t="s">
        <v>424</v>
      </c>
      <c r="H23" s="7" t="str">
        <f t="shared" si="0"/>
        <v>Yes</v>
      </c>
      <c r="J23" t="s">
        <v>33</v>
      </c>
      <c r="K23" t="s">
        <v>228</v>
      </c>
      <c r="L23" t="s">
        <v>228</v>
      </c>
      <c r="M23" s="1">
        <v>41855</v>
      </c>
      <c r="N23" t="s">
        <v>445</v>
      </c>
      <c r="O23" s="5">
        <v>166</v>
      </c>
      <c r="R23">
        <v>41</v>
      </c>
      <c r="S23">
        <v>13</v>
      </c>
    </row>
    <row r="24" spans="1:19">
      <c r="A24" t="s">
        <v>237</v>
      </c>
      <c r="B24" s="1">
        <v>42223</v>
      </c>
      <c r="C24" s="2">
        <v>0.70833333333333337</v>
      </c>
      <c r="D24" s="1">
        <v>42224</v>
      </c>
      <c r="E24" s="2">
        <v>0.5625</v>
      </c>
      <c r="F24" t="s">
        <v>238</v>
      </c>
      <c r="G24" t="s">
        <v>424</v>
      </c>
      <c r="H24" s="7" t="str">
        <f t="shared" si="0"/>
        <v>Yes</v>
      </c>
      <c r="J24" t="s">
        <v>33</v>
      </c>
      <c r="K24" t="s">
        <v>228</v>
      </c>
      <c r="L24" t="s">
        <v>228</v>
      </c>
      <c r="M24" s="1">
        <v>41855</v>
      </c>
      <c r="N24" t="s">
        <v>239</v>
      </c>
      <c r="O24" s="5">
        <v>215</v>
      </c>
      <c r="R24">
        <v>91</v>
      </c>
      <c r="S24">
        <v>26</v>
      </c>
    </row>
    <row r="25" spans="1:19">
      <c r="A25" t="s">
        <v>444</v>
      </c>
      <c r="B25" s="1">
        <v>42223</v>
      </c>
      <c r="C25" s="2">
        <v>0.95833333333333337</v>
      </c>
      <c r="D25" s="1">
        <v>42224</v>
      </c>
      <c r="E25" s="2">
        <v>0.5625</v>
      </c>
      <c r="F25" t="s">
        <v>238</v>
      </c>
      <c r="G25" t="s">
        <v>424</v>
      </c>
      <c r="H25" s="7" t="str">
        <f t="shared" si="0"/>
        <v>Yes</v>
      </c>
      <c r="J25" t="s">
        <v>33</v>
      </c>
      <c r="K25" t="s">
        <v>228</v>
      </c>
      <c r="L25" t="s">
        <v>228</v>
      </c>
      <c r="M25" s="1">
        <v>41855</v>
      </c>
      <c r="N25" t="s">
        <v>445</v>
      </c>
      <c r="O25" s="5">
        <v>166</v>
      </c>
      <c r="R25">
        <v>48</v>
      </c>
      <c r="S25">
        <v>13</v>
      </c>
    </row>
    <row r="26" spans="1:19">
      <c r="A26" t="s">
        <v>469</v>
      </c>
      <c r="B26" s="1">
        <v>42226</v>
      </c>
      <c r="C26" s="2">
        <v>0.5</v>
      </c>
      <c r="D26" s="1">
        <v>42231</v>
      </c>
      <c r="E26" s="2">
        <v>0.29166666666666669</v>
      </c>
      <c r="F26" t="s">
        <v>242</v>
      </c>
      <c r="G26" t="s">
        <v>216</v>
      </c>
      <c r="H26" s="7" t="str">
        <f t="shared" si="0"/>
        <v>Yes</v>
      </c>
      <c r="J26" t="s">
        <v>33</v>
      </c>
      <c r="K26" t="s">
        <v>340</v>
      </c>
      <c r="L26" t="s">
        <v>340</v>
      </c>
      <c r="M26" s="1">
        <v>41779</v>
      </c>
      <c r="N26" t="s">
        <v>470</v>
      </c>
      <c r="O26" s="5">
        <v>184</v>
      </c>
      <c r="R26">
        <v>49</v>
      </c>
    </row>
    <row r="27" spans="1:19">
      <c r="A27" t="s">
        <v>237</v>
      </c>
      <c r="B27" s="1">
        <v>42230</v>
      </c>
      <c r="C27" s="2">
        <v>0.70833333333333337</v>
      </c>
      <c r="D27" s="1">
        <v>42231</v>
      </c>
      <c r="E27" s="2">
        <v>0.5625</v>
      </c>
      <c r="F27" t="s">
        <v>238</v>
      </c>
      <c r="G27" t="s">
        <v>424</v>
      </c>
      <c r="H27" s="7" t="str">
        <f t="shared" si="0"/>
        <v>Yes</v>
      </c>
      <c r="J27" t="s">
        <v>33</v>
      </c>
      <c r="K27" t="s">
        <v>228</v>
      </c>
      <c r="L27" t="s">
        <v>228</v>
      </c>
      <c r="M27" s="1">
        <v>41855</v>
      </c>
      <c r="N27" t="s">
        <v>239</v>
      </c>
      <c r="O27" s="5">
        <v>215</v>
      </c>
      <c r="R27">
        <v>88</v>
      </c>
      <c r="S27">
        <v>26</v>
      </c>
    </row>
    <row r="28" spans="1:19">
      <c r="A28" t="s">
        <v>444</v>
      </c>
      <c r="B28" s="1">
        <v>42230</v>
      </c>
      <c r="C28" s="2">
        <v>8.3333333333333329E-2</v>
      </c>
      <c r="D28" s="1">
        <v>42231</v>
      </c>
      <c r="E28" s="2">
        <v>0.5625</v>
      </c>
      <c r="F28" t="s">
        <v>238</v>
      </c>
      <c r="G28" t="s">
        <v>424</v>
      </c>
      <c r="H28" s="7" t="str">
        <f t="shared" si="0"/>
        <v>Yes</v>
      </c>
      <c r="J28" t="s">
        <v>33</v>
      </c>
      <c r="K28" t="s">
        <v>228</v>
      </c>
      <c r="L28" t="s">
        <v>228</v>
      </c>
      <c r="M28" s="1">
        <v>41855</v>
      </c>
      <c r="N28" t="s">
        <v>445</v>
      </c>
      <c r="O28" s="5">
        <v>166</v>
      </c>
      <c r="R28">
        <v>35</v>
      </c>
      <c r="S28">
        <v>13</v>
      </c>
    </row>
    <row r="29" spans="1:19">
      <c r="A29" t="s">
        <v>237</v>
      </c>
      <c r="B29" s="1">
        <v>42237</v>
      </c>
      <c r="C29" s="2">
        <v>0.70833333333333337</v>
      </c>
      <c r="D29" s="1">
        <v>42238</v>
      </c>
      <c r="E29" s="2">
        <v>0.5625</v>
      </c>
      <c r="F29" t="s">
        <v>238</v>
      </c>
      <c r="G29" t="s">
        <v>424</v>
      </c>
      <c r="H29" s="7" t="str">
        <f t="shared" si="0"/>
        <v>Yes</v>
      </c>
      <c r="J29" t="s">
        <v>33</v>
      </c>
      <c r="K29" t="s">
        <v>228</v>
      </c>
      <c r="L29" t="s">
        <v>228</v>
      </c>
      <c r="M29" s="1">
        <v>41855</v>
      </c>
      <c r="N29" t="s">
        <v>239</v>
      </c>
      <c r="O29" s="5">
        <v>215</v>
      </c>
      <c r="R29">
        <v>98</v>
      </c>
      <c r="S29">
        <v>26</v>
      </c>
    </row>
    <row r="30" spans="1:19">
      <c r="A30" t="s">
        <v>444</v>
      </c>
      <c r="B30" s="1">
        <v>42237</v>
      </c>
      <c r="C30" s="2">
        <v>0.20833333333333334</v>
      </c>
      <c r="D30" s="1">
        <v>42238</v>
      </c>
      <c r="E30" s="2">
        <v>0.5625</v>
      </c>
      <c r="F30" t="s">
        <v>238</v>
      </c>
      <c r="G30" t="s">
        <v>424</v>
      </c>
      <c r="H30" s="7" t="str">
        <f t="shared" si="0"/>
        <v>Yes</v>
      </c>
      <c r="J30" t="s">
        <v>33</v>
      </c>
      <c r="K30" t="s">
        <v>228</v>
      </c>
      <c r="L30" t="s">
        <v>228</v>
      </c>
      <c r="M30" s="1">
        <v>41855</v>
      </c>
      <c r="N30" t="s">
        <v>445</v>
      </c>
      <c r="O30" s="5">
        <v>166</v>
      </c>
      <c r="R30">
        <v>42</v>
      </c>
      <c r="S30">
        <v>13</v>
      </c>
    </row>
    <row r="31" spans="1:19">
      <c r="A31" t="s">
        <v>237</v>
      </c>
      <c r="B31" s="1">
        <v>42241</v>
      </c>
      <c r="C31" s="2">
        <v>0.70833333333333337</v>
      </c>
      <c r="D31" s="1">
        <v>42245</v>
      </c>
      <c r="E31" s="2">
        <v>0.5625</v>
      </c>
      <c r="F31" t="s">
        <v>235</v>
      </c>
      <c r="G31" t="s">
        <v>424</v>
      </c>
      <c r="H31" s="7" t="str">
        <f t="shared" si="0"/>
        <v>Yes</v>
      </c>
      <c r="J31" t="s">
        <v>33</v>
      </c>
      <c r="K31" t="s">
        <v>228</v>
      </c>
      <c r="L31" t="s">
        <v>228</v>
      </c>
      <c r="M31" s="1">
        <v>41855</v>
      </c>
      <c r="N31" t="s">
        <v>239</v>
      </c>
      <c r="O31" s="5">
        <v>215</v>
      </c>
      <c r="R31">
        <v>95</v>
      </c>
      <c r="S31">
        <v>26</v>
      </c>
    </row>
    <row r="32" spans="1:19">
      <c r="A32" t="s">
        <v>471</v>
      </c>
      <c r="B32" s="1">
        <v>42246</v>
      </c>
      <c r="C32" s="2">
        <v>0.33333333333333331</v>
      </c>
      <c r="D32" s="1">
        <v>42246</v>
      </c>
      <c r="E32" s="2">
        <v>0.70833333333333337</v>
      </c>
      <c r="F32" t="s">
        <v>227</v>
      </c>
      <c r="G32" t="s">
        <v>412</v>
      </c>
      <c r="H32" s="7" t="str">
        <f t="shared" si="0"/>
        <v>Yes</v>
      </c>
      <c r="J32" t="s">
        <v>33</v>
      </c>
      <c r="K32" t="s">
        <v>472</v>
      </c>
      <c r="L32" t="s">
        <v>258</v>
      </c>
      <c r="M32" s="1">
        <v>41393</v>
      </c>
      <c r="N32" t="s">
        <v>473</v>
      </c>
      <c r="O32" s="5">
        <v>720</v>
      </c>
      <c r="P32" s="7">
        <v>101</v>
      </c>
      <c r="Q32" s="7">
        <v>26</v>
      </c>
      <c r="R32">
        <v>1340</v>
      </c>
      <c r="S32">
        <v>580</v>
      </c>
    </row>
    <row r="33" spans="1:19">
      <c r="A33" t="s">
        <v>474</v>
      </c>
      <c r="B33" s="1">
        <v>42246</v>
      </c>
      <c r="C33" s="2">
        <v>0.33333333333333331</v>
      </c>
      <c r="D33" s="1">
        <v>42246</v>
      </c>
      <c r="E33" s="2">
        <v>0.70833333333333337</v>
      </c>
      <c r="F33" t="s">
        <v>227</v>
      </c>
      <c r="G33" t="s">
        <v>412</v>
      </c>
      <c r="H33" s="7" t="str">
        <f t="shared" si="0"/>
        <v>Yes</v>
      </c>
      <c r="J33" t="s">
        <v>231</v>
      </c>
      <c r="K33" t="s">
        <v>232</v>
      </c>
      <c r="L33" t="s">
        <v>233</v>
      </c>
      <c r="M33" s="1">
        <v>41752</v>
      </c>
      <c r="N33" t="s">
        <v>475</v>
      </c>
      <c r="O33" s="5">
        <v>111</v>
      </c>
      <c r="P33" s="7">
        <v>123</v>
      </c>
      <c r="Q33" s="7">
        <v>29</v>
      </c>
      <c r="R33">
        <v>3923</v>
      </c>
      <c r="S33">
        <v>1360</v>
      </c>
    </row>
    <row r="34" spans="1:19">
      <c r="A34" t="s">
        <v>469</v>
      </c>
      <c r="B34" s="1">
        <v>42249</v>
      </c>
      <c r="C34" s="2">
        <v>0.5</v>
      </c>
      <c r="D34" s="1">
        <v>42251</v>
      </c>
      <c r="E34" t="s">
        <v>371</v>
      </c>
      <c r="F34" t="s">
        <v>236</v>
      </c>
      <c r="G34" t="s">
        <v>238</v>
      </c>
      <c r="H34" s="7" t="str">
        <f t="shared" si="0"/>
        <v>Yes</v>
      </c>
      <c r="J34" t="s">
        <v>33</v>
      </c>
      <c r="K34" t="s">
        <v>340</v>
      </c>
      <c r="L34" t="s">
        <v>340</v>
      </c>
      <c r="M34" s="1">
        <v>41779</v>
      </c>
      <c r="N34" t="s">
        <v>470</v>
      </c>
      <c r="O34" s="5">
        <v>184</v>
      </c>
      <c r="R34">
        <v>0</v>
      </c>
    </row>
    <row r="35" spans="1:19">
      <c r="A35" t="s">
        <v>237</v>
      </c>
      <c r="B35" s="1">
        <v>42251</v>
      </c>
      <c r="C35" s="2">
        <v>0.70833333333333337</v>
      </c>
      <c r="D35" s="1">
        <v>42252</v>
      </c>
      <c r="E35" s="2">
        <v>0.5625</v>
      </c>
      <c r="F35" t="s">
        <v>238</v>
      </c>
      <c r="G35" t="s">
        <v>424</v>
      </c>
      <c r="H35" s="7" t="str">
        <f t="shared" si="0"/>
        <v>Yes</v>
      </c>
      <c r="J35" t="s">
        <v>33</v>
      </c>
      <c r="K35" t="s">
        <v>228</v>
      </c>
      <c r="L35" t="s">
        <v>228</v>
      </c>
      <c r="M35" s="1">
        <v>41855</v>
      </c>
      <c r="N35" t="s">
        <v>239</v>
      </c>
      <c r="O35" s="5">
        <v>215</v>
      </c>
      <c r="R35">
        <v>96</v>
      </c>
      <c r="S35">
        <v>26</v>
      </c>
    </row>
    <row r="36" spans="1:19">
      <c r="A36" t="s">
        <v>230</v>
      </c>
      <c r="B36" s="1">
        <v>42252</v>
      </c>
      <c r="C36" s="2">
        <v>0.47916666666666669</v>
      </c>
      <c r="D36" s="1">
        <v>42252</v>
      </c>
      <c r="E36" s="2">
        <v>0.79166666666666663</v>
      </c>
      <c r="F36" t="s">
        <v>216</v>
      </c>
      <c r="G36" t="s">
        <v>424</v>
      </c>
      <c r="H36" s="7" t="str">
        <f t="shared" si="0"/>
        <v>Yes</v>
      </c>
      <c r="J36" t="s">
        <v>231</v>
      </c>
      <c r="K36" t="s">
        <v>232</v>
      </c>
      <c r="L36" t="s">
        <v>233</v>
      </c>
      <c r="M36" s="1">
        <v>41344</v>
      </c>
      <c r="N36" t="s">
        <v>234</v>
      </c>
      <c r="O36" s="5">
        <v>918</v>
      </c>
      <c r="P36" s="7">
        <v>106</v>
      </c>
      <c r="Q36" s="7">
        <v>26</v>
      </c>
      <c r="R36">
        <v>2000</v>
      </c>
      <c r="S36">
        <v>790</v>
      </c>
    </row>
    <row r="37" spans="1:19">
      <c r="A37" t="s">
        <v>476</v>
      </c>
      <c r="B37" s="1">
        <v>42256</v>
      </c>
      <c r="C37" s="2">
        <v>0.29166666666666669</v>
      </c>
      <c r="D37" s="1">
        <v>42256</v>
      </c>
      <c r="E37" s="2">
        <v>0.70833333333333337</v>
      </c>
      <c r="F37" t="s">
        <v>236</v>
      </c>
      <c r="G37" t="s">
        <v>408</v>
      </c>
      <c r="H37" s="7" t="str">
        <f t="shared" si="0"/>
        <v>Yes</v>
      </c>
      <c r="J37" t="s">
        <v>33</v>
      </c>
      <c r="K37" t="s">
        <v>223</v>
      </c>
      <c r="L37" t="s">
        <v>477</v>
      </c>
      <c r="M37" s="1">
        <v>41709</v>
      </c>
      <c r="N37" t="s">
        <v>478</v>
      </c>
      <c r="O37" s="5">
        <v>952</v>
      </c>
      <c r="P37" s="7">
        <v>116</v>
      </c>
      <c r="Q37" s="7">
        <v>27</v>
      </c>
      <c r="R37">
        <v>3032</v>
      </c>
      <c r="S37">
        <v>1160</v>
      </c>
    </row>
    <row r="38" spans="1:19">
      <c r="A38" t="s">
        <v>240</v>
      </c>
      <c r="B38" s="1">
        <v>42256</v>
      </c>
      <c r="C38" s="2">
        <v>0.33333333333333331</v>
      </c>
      <c r="D38" s="1">
        <v>42256</v>
      </c>
      <c r="E38" s="2">
        <v>0.70833333333333337</v>
      </c>
      <c r="F38" t="s">
        <v>236</v>
      </c>
      <c r="G38" t="s">
        <v>408</v>
      </c>
      <c r="H38" s="7" t="str">
        <f t="shared" si="0"/>
        <v>Yes</v>
      </c>
      <c r="J38" t="s">
        <v>231</v>
      </c>
      <c r="K38" t="s">
        <v>232</v>
      </c>
      <c r="L38" t="s">
        <v>233</v>
      </c>
      <c r="M38" s="1">
        <v>41381</v>
      </c>
      <c r="N38" t="s">
        <v>225</v>
      </c>
      <c r="O38" s="5">
        <v>965</v>
      </c>
      <c r="P38" s="7">
        <v>106</v>
      </c>
      <c r="Q38" s="7">
        <v>27</v>
      </c>
      <c r="R38">
        <v>2106</v>
      </c>
      <c r="S38">
        <v>997</v>
      </c>
    </row>
    <row r="39" spans="1:19">
      <c r="A39" t="s">
        <v>237</v>
      </c>
      <c r="B39" s="1">
        <v>42258</v>
      </c>
      <c r="C39" s="2">
        <v>0.70833333333333337</v>
      </c>
      <c r="D39" s="1">
        <v>42259</v>
      </c>
      <c r="E39" s="2">
        <v>0.5625</v>
      </c>
      <c r="F39" t="s">
        <v>238</v>
      </c>
      <c r="G39" t="s">
        <v>424</v>
      </c>
      <c r="H39" s="7" t="str">
        <f t="shared" si="0"/>
        <v>Yes</v>
      </c>
      <c r="J39" t="s">
        <v>479</v>
      </c>
      <c r="K39" t="s">
        <v>228</v>
      </c>
      <c r="L39" t="s">
        <v>228</v>
      </c>
      <c r="M39" s="1">
        <v>41855</v>
      </c>
      <c r="N39" t="s">
        <v>239</v>
      </c>
      <c r="O39" s="5">
        <v>215</v>
      </c>
      <c r="R39">
        <v>91</v>
      </c>
      <c r="S39">
        <v>26</v>
      </c>
    </row>
    <row r="40" spans="1:19">
      <c r="A40" t="s">
        <v>444</v>
      </c>
      <c r="B40" s="1">
        <v>42258</v>
      </c>
      <c r="C40" s="2">
        <v>0.58333333333333337</v>
      </c>
      <c r="D40" s="1">
        <v>42259</v>
      </c>
      <c r="E40" s="2">
        <v>0.5625</v>
      </c>
      <c r="F40" t="s">
        <v>238</v>
      </c>
      <c r="G40" t="s">
        <v>424</v>
      </c>
      <c r="H40" s="7" t="str">
        <f t="shared" si="0"/>
        <v>Yes</v>
      </c>
      <c r="J40" t="s">
        <v>479</v>
      </c>
      <c r="K40" t="s">
        <v>228</v>
      </c>
      <c r="L40" t="s">
        <v>228</v>
      </c>
      <c r="M40" s="1">
        <v>41855</v>
      </c>
      <c r="N40" t="s">
        <v>445</v>
      </c>
      <c r="O40" s="5">
        <v>166</v>
      </c>
      <c r="R40">
        <v>40</v>
      </c>
      <c r="S40">
        <v>13</v>
      </c>
    </row>
    <row r="41" spans="1:19">
      <c r="A41" t="s">
        <v>221</v>
      </c>
      <c r="B41" s="1">
        <v>42259</v>
      </c>
      <c r="C41" s="2">
        <v>0.29166666666666669</v>
      </c>
      <c r="D41" s="1">
        <v>42259</v>
      </c>
      <c r="E41" s="2">
        <v>0.625</v>
      </c>
      <c r="F41" t="s">
        <v>216</v>
      </c>
      <c r="G41" t="s">
        <v>424</v>
      </c>
      <c r="H41" s="7" t="str">
        <f t="shared" si="0"/>
        <v>Yes</v>
      </c>
      <c r="J41" t="s">
        <v>33</v>
      </c>
      <c r="K41" t="s">
        <v>223</v>
      </c>
      <c r="L41" t="s">
        <v>224</v>
      </c>
      <c r="M41" s="1">
        <v>41690</v>
      </c>
      <c r="N41" t="s">
        <v>225</v>
      </c>
      <c r="O41" s="5">
        <v>965</v>
      </c>
      <c r="P41" s="7">
        <v>106</v>
      </c>
      <c r="Q41" s="7">
        <v>27</v>
      </c>
      <c r="R41" s="3">
        <v>2203</v>
      </c>
      <c r="S41" s="3">
        <v>1000</v>
      </c>
    </row>
    <row r="42" spans="1:19">
      <c r="A42" t="s">
        <v>474</v>
      </c>
      <c r="B42" s="1">
        <v>42259</v>
      </c>
      <c r="C42" s="2">
        <v>0.33333333333333331</v>
      </c>
      <c r="D42" s="1">
        <v>42259</v>
      </c>
      <c r="E42" s="2">
        <v>0.75</v>
      </c>
      <c r="F42" t="s">
        <v>216</v>
      </c>
      <c r="G42" t="s">
        <v>424</v>
      </c>
      <c r="H42" s="7" t="str">
        <f t="shared" si="0"/>
        <v>Yes</v>
      </c>
      <c r="J42" t="s">
        <v>231</v>
      </c>
      <c r="K42" t="s">
        <v>232</v>
      </c>
      <c r="L42" t="s">
        <v>233</v>
      </c>
      <c r="M42" s="1">
        <v>41747</v>
      </c>
      <c r="N42" t="s">
        <v>475</v>
      </c>
      <c r="O42" s="5">
        <v>111</v>
      </c>
      <c r="P42" s="7">
        <v>123</v>
      </c>
      <c r="Q42" s="7">
        <v>29</v>
      </c>
      <c r="R42">
        <v>3611</v>
      </c>
      <c r="S42">
        <v>1360</v>
      </c>
    </row>
    <row r="43" spans="1:19">
      <c r="A43" t="s">
        <v>476</v>
      </c>
      <c r="B43" s="1">
        <v>42262</v>
      </c>
      <c r="C43" s="2">
        <v>0.33333333333333331</v>
      </c>
      <c r="D43" s="1">
        <v>42262</v>
      </c>
      <c r="E43" s="2">
        <v>0.70833333333333337</v>
      </c>
      <c r="F43" t="s">
        <v>235</v>
      </c>
      <c r="G43" t="s">
        <v>400</v>
      </c>
      <c r="H43" s="7" t="str">
        <f t="shared" si="0"/>
        <v>Yes</v>
      </c>
      <c r="J43" t="s">
        <v>33</v>
      </c>
      <c r="K43" t="s">
        <v>223</v>
      </c>
      <c r="L43" t="s">
        <v>477</v>
      </c>
      <c r="M43" s="1">
        <v>41709</v>
      </c>
      <c r="N43" t="s">
        <v>478</v>
      </c>
      <c r="O43" s="5">
        <v>952</v>
      </c>
      <c r="P43" s="7">
        <v>116</v>
      </c>
      <c r="Q43" s="7">
        <v>27</v>
      </c>
      <c r="R43">
        <v>3007</v>
      </c>
      <c r="S43">
        <v>1160</v>
      </c>
    </row>
    <row r="44" spans="1:19">
      <c r="A44" t="s">
        <v>480</v>
      </c>
      <c r="B44" s="1">
        <v>42264</v>
      </c>
      <c r="C44" s="2">
        <v>0.29166666666666669</v>
      </c>
      <c r="D44" s="1">
        <v>42264</v>
      </c>
      <c r="E44" s="2">
        <v>0.79166666666666663</v>
      </c>
      <c r="F44" t="s">
        <v>222</v>
      </c>
      <c r="G44" t="s">
        <v>222</v>
      </c>
      <c r="H44" s="7" t="str">
        <f t="shared" si="0"/>
        <v>No</v>
      </c>
      <c r="J44" t="s">
        <v>231</v>
      </c>
      <c r="K44" t="s">
        <v>232</v>
      </c>
      <c r="L44" t="s">
        <v>233</v>
      </c>
      <c r="M44" s="1">
        <v>41586</v>
      </c>
      <c r="N44" t="s">
        <v>277</v>
      </c>
      <c r="O44" s="5">
        <v>963</v>
      </c>
      <c r="P44" s="7">
        <v>106</v>
      </c>
      <c r="Q44" s="7">
        <v>28</v>
      </c>
      <c r="R44">
        <v>2066</v>
      </c>
      <c r="S44">
        <v>869</v>
      </c>
    </row>
    <row r="45" spans="1:19">
      <c r="A45" t="s">
        <v>237</v>
      </c>
      <c r="B45" s="1">
        <v>42265</v>
      </c>
      <c r="C45" s="2">
        <v>0.70833333333333337</v>
      </c>
      <c r="D45" s="1">
        <v>42266</v>
      </c>
      <c r="E45" s="2">
        <v>0.5625</v>
      </c>
      <c r="F45" t="s">
        <v>238</v>
      </c>
      <c r="G45" t="s">
        <v>424</v>
      </c>
      <c r="H45" s="7" t="str">
        <f t="shared" si="0"/>
        <v>Yes</v>
      </c>
      <c r="J45" t="s">
        <v>479</v>
      </c>
      <c r="K45" t="s">
        <v>228</v>
      </c>
      <c r="L45" t="s">
        <v>228</v>
      </c>
      <c r="M45" s="1">
        <v>41855</v>
      </c>
      <c r="N45" t="s">
        <v>239</v>
      </c>
      <c r="O45" s="5">
        <v>215</v>
      </c>
      <c r="R45">
        <v>93</v>
      </c>
      <c r="S45">
        <v>26</v>
      </c>
    </row>
    <row r="46" spans="1:19">
      <c r="A46" t="s">
        <v>481</v>
      </c>
      <c r="B46" s="1">
        <v>42266</v>
      </c>
      <c r="C46" s="2">
        <v>0.29166666666666669</v>
      </c>
      <c r="D46" s="1">
        <v>42266</v>
      </c>
      <c r="E46" s="2">
        <v>0.79166666666666663</v>
      </c>
      <c r="F46" t="s">
        <v>216</v>
      </c>
      <c r="G46" t="s">
        <v>424</v>
      </c>
      <c r="H46" s="7" t="str">
        <f t="shared" si="0"/>
        <v>Yes</v>
      </c>
      <c r="J46" t="s">
        <v>33</v>
      </c>
      <c r="K46" t="s">
        <v>232</v>
      </c>
      <c r="L46" t="s">
        <v>233</v>
      </c>
      <c r="M46" s="1">
        <v>41491</v>
      </c>
      <c r="N46" t="s">
        <v>277</v>
      </c>
      <c r="O46" s="5">
        <v>963</v>
      </c>
      <c r="P46" s="7">
        <v>106</v>
      </c>
      <c r="Q46" s="7">
        <v>28</v>
      </c>
      <c r="R46">
        <v>2116</v>
      </c>
      <c r="S46">
        <v>859</v>
      </c>
    </row>
    <row r="47" spans="1:19">
      <c r="A47" t="s">
        <v>230</v>
      </c>
      <c r="B47" s="1">
        <v>42266</v>
      </c>
      <c r="C47" s="2">
        <v>0.47916666666666669</v>
      </c>
      <c r="D47" s="1">
        <v>42266</v>
      </c>
      <c r="E47" s="2">
        <v>0.79166666666666663</v>
      </c>
      <c r="F47" t="s">
        <v>216</v>
      </c>
      <c r="G47" t="s">
        <v>424</v>
      </c>
      <c r="H47" s="7" t="str">
        <f t="shared" si="0"/>
        <v>Yes</v>
      </c>
      <c r="J47" t="s">
        <v>231</v>
      </c>
      <c r="K47" t="s">
        <v>232</v>
      </c>
      <c r="L47" t="s">
        <v>233</v>
      </c>
      <c r="M47" s="1">
        <v>41344</v>
      </c>
      <c r="N47" t="s">
        <v>234</v>
      </c>
      <c r="O47" s="5">
        <v>918</v>
      </c>
      <c r="P47" s="7">
        <v>106</v>
      </c>
      <c r="Q47" s="7">
        <v>26</v>
      </c>
      <c r="R47">
        <v>1920</v>
      </c>
      <c r="S47">
        <v>790</v>
      </c>
    </row>
    <row r="48" spans="1:19">
      <c r="A48" t="s">
        <v>476</v>
      </c>
      <c r="B48" s="1">
        <v>42270</v>
      </c>
      <c r="C48" s="2">
        <v>0.29166666666666669</v>
      </c>
      <c r="D48" s="1">
        <v>42270</v>
      </c>
      <c r="E48" s="2">
        <v>0.70833333333333337</v>
      </c>
      <c r="F48" t="s">
        <v>236</v>
      </c>
      <c r="G48" t="s">
        <v>408</v>
      </c>
      <c r="H48" s="7" t="str">
        <f t="shared" si="0"/>
        <v>Yes</v>
      </c>
      <c r="J48" t="s">
        <v>33</v>
      </c>
      <c r="K48" t="s">
        <v>223</v>
      </c>
      <c r="L48" t="s">
        <v>477</v>
      </c>
      <c r="M48" s="1">
        <v>41709</v>
      </c>
      <c r="N48" t="s">
        <v>478</v>
      </c>
      <c r="O48" s="5">
        <v>952</v>
      </c>
      <c r="P48" s="7">
        <v>116</v>
      </c>
      <c r="Q48" s="7">
        <v>27</v>
      </c>
      <c r="R48">
        <v>3017</v>
      </c>
      <c r="S48">
        <v>1160</v>
      </c>
    </row>
    <row r="49" spans="1:19">
      <c r="A49" t="s">
        <v>240</v>
      </c>
      <c r="B49" s="1">
        <v>42270</v>
      </c>
      <c r="C49" s="2">
        <v>0.33333333333333331</v>
      </c>
      <c r="D49" s="1">
        <v>42270</v>
      </c>
      <c r="E49" s="2">
        <v>0.70833333333333337</v>
      </c>
      <c r="F49" t="s">
        <v>236</v>
      </c>
      <c r="G49" t="s">
        <v>408</v>
      </c>
      <c r="H49" s="7" t="str">
        <f t="shared" si="0"/>
        <v>Yes</v>
      </c>
      <c r="J49" t="s">
        <v>231</v>
      </c>
      <c r="K49" t="s">
        <v>223</v>
      </c>
      <c r="L49" t="s">
        <v>233</v>
      </c>
      <c r="M49" s="1">
        <v>41381</v>
      </c>
      <c r="N49" t="s">
        <v>225</v>
      </c>
      <c r="O49" s="5">
        <v>965</v>
      </c>
      <c r="P49" s="7">
        <v>106</v>
      </c>
      <c r="Q49" s="7">
        <v>27</v>
      </c>
      <c r="R49">
        <v>2158</v>
      </c>
      <c r="S49">
        <v>997</v>
      </c>
    </row>
    <row r="50" spans="1:19">
      <c r="A50" t="s">
        <v>251</v>
      </c>
      <c r="B50" s="1">
        <v>42271</v>
      </c>
      <c r="C50" s="2">
        <v>0.29166666666666669</v>
      </c>
      <c r="D50" s="1">
        <v>42271</v>
      </c>
      <c r="E50" s="2">
        <v>0.70833333333333337</v>
      </c>
      <c r="F50" t="s">
        <v>222</v>
      </c>
      <c r="G50" t="s">
        <v>410</v>
      </c>
      <c r="H50" s="7" t="str">
        <f t="shared" si="0"/>
        <v>Yes</v>
      </c>
      <c r="J50" t="s">
        <v>231</v>
      </c>
      <c r="K50" t="s">
        <v>218</v>
      </c>
      <c r="L50" t="s">
        <v>252</v>
      </c>
      <c r="M50" s="1">
        <v>41702</v>
      </c>
      <c r="N50" t="s">
        <v>253</v>
      </c>
      <c r="O50" s="5">
        <v>950</v>
      </c>
      <c r="R50">
        <v>3052</v>
      </c>
      <c r="S50">
        <v>1142</v>
      </c>
    </row>
    <row r="51" spans="1:19">
      <c r="A51" t="s">
        <v>237</v>
      </c>
      <c r="B51" s="1">
        <v>42272</v>
      </c>
      <c r="C51" s="2">
        <v>0.70833333333333337</v>
      </c>
      <c r="D51" s="1">
        <v>42273</v>
      </c>
      <c r="E51" s="2">
        <v>0.5625</v>
      </c>
      <c r="F51" t="s">
        <v>238</v>
      </c>
      <c r="G51" t="s">
        <v>424</v>
      </c>
      <c r="H51" s="7" t="str">
        <f t="shared" si="0"/>
        <v>Yes</v>
      </c>
      <c r="J51" t="s">
        <v>479</v>
      </c>
      <c r="K51" t="s">
        <v>228</v>
      </c>
      <c r="L51" t="s">
        <v>228</v>
      </c>
      <c r="M51" s="1">
        <v>41855</v>
      </c>
      <c r="N51" t="s">
        <v>239</v>
      </c>
      <c r="O51" s="5">
        <v>215</v>
      </c>
      <c r="R51">
        <v>91</v>
      </c>
      <c r="S51">
        <v>26</v>
      </c>
    </row>
    <row r="52" spans="1:19">
      <c r="A52" t="s">
        <v>215</v>
      </c>
      <c r="B52" s="1">
        <v>42273</v>
      </c>
      <c r="C52" s="2">
        <v>0.33333333333333331</v>
      </c>
      <c r="D52" s="1">
        <v>41908</v>
      </c>
      <c r="E52" s="2">
        <v>0.625</v>
      </c>
      <c r="F52" t="s">
        <v>216</v>
      </c>
      <c r="G52" t="s">
        <v>238</v>
      </c>
      <c r="H52" s="7" t="str">
        <f t="shared" si="0"/>
        <v>Yes</v>
      </c>
      <c r="I52" t="s">
        <v>208</v>
      </c>
      <c r="J52" t="s">
        <v>217</v>
      </c>
      <c r="K52" t="s">
        <v>218</v>
      </c>
      <c r="L52" t="s">
        <v>219</v>
      </c>
      <c r="M52" s="1">
        <v>41683</v>
      </c>
      <c r="N52" t="s">
        <v>443</v>
      </c>
      <c r="O52" s="5">
        <v>325</v>
      </c>
      <c r="R52">
        <v>191</v>
      </c>
      <c r="S52">
        <v>65</v>
      </c>
    </row>
    <row r="53" spans="1:19">
      <c r="A53" t="s">
        <v>221</v>
      </c>
      <c r="B53" s="1">
        <v>42273</v>
      </c>
      <c r="C53" s="2">
        <v>0.29166666666666669</v>
      </c>
      <c r="D53" s="1">
        <v>42273</v>
      </c>
      <c r="E53" s="2">
        <v>0.625</v>
      </c>
      <c r="F53" t="s">
        <v>216</v>
      </c>
      <c r="G53" t="s">
        <v>424</v>
      </c>
      <c r="H53" s="7" t="str">
        <f t="shared" si="0"/>
        <v>Yes</v>
      </c>
      <c r="J53" t="s">
        <v>33</v>
      </c>
      <c r="K53" t="s">
        <v>223</v>
      </c>
      <c r="L53" t="s">
        <v>224</v>
      </c>
      <c r="M53" s="1">
        <v>41690</v>
      </c>
      <c r="N53" t="s">
        <v>225</v>
      </c>
      <c r="O53" s="5">
        <v>965</v>
      </c>
      <c r="P53" s="7">
        <v>106</v>
      </c>
      <c r="Q53" s="7">
        <v>27</v>
      </c>
      <c r="R53" s="3">
        <v>2203</v>
      </c>
      <c r="S53" s="3">
        <v>1000</v>
      </c>
    </row>
    <row r="54" spans="1:19">
      <c r="A54" t="s">
        <v>474</v>
      </c>
      <c r="B54" s="1">
        <v>42273</v>
      </c>
      <c r="C54" s="2">
        <v>0.33333333333333331</v>
      </c>
      <c r="D54" s="1">
        <v>42273</v>
      </c>
      <c r="E54" s="2">
        <v>0.75</v>
      </c>
      <c r="F54" t="s">
        <v>216</v>
      </c>
      <c r="G54" t="s">
        <v>216</v>
      </c>
      <c r="H54" s="7" t="str">
        <f t="shared" si="0"/>
        <v>No</v>
      </c>
      <c r="J54" t="s">
        <v>231</v>
      </c>
      <c r="K54" t="s">
        <v>232</v>
      </c>
      <c r="L54" t="s">
        <v>233</v>
      </c>
      <c r="M54" s="1">
        <v>41747</v>
      </c>
      <c r="N54" t="s">
        <v>475</v>
      </c>
      <c r="O54" s="5">
        <v>111</v>
      </c>
      <c r="P54" s="7">
        <v>123</v>
      </c>
      <c r="Q54" s="7">
        <v>29</v>
      </c>
      <c r="R54">
        <v>3611</v>
      </c>
      <c r="S54">
        <v>1360</v>
      </c>
    </row>
    <row r="55" spans="1:19">
      <c r="A55" t="s">
        <v>481</v>
      </c>
      <c r="B55" s="1">
        <v>42275</v>
      </c>
      <c r="C55" s="2">
        <v>0.29166666666666669</v>
      </c>
      <c r="D55" s="1">
        <v>42275</v>
      </c>
      <c r="E55" s="2">
        <v>0.75</v>
      </c>
      <c r="F55" t="s">
        <v>242</v>
      </c>
      <c r="G55" t="s">
        <v>395</v>
      </c>
      <c r="H55" s="7" t="str">
        <f t="shared" si="0"/>
        <v>Yes</v>
      </c>
      <c r="J55" t="s">
        <v>231</v>
      </c>
      <c r="K55" t="s">
        <v>232</v>
      </c>
      <c r="L55" t="s">
        <v>233</v>
      </c>
      <c r="M55" s="1">
        <v>41381</v>
      </c>
      <c r="N55" t="s">
        <v>277</v>
      </c>
      <c r="O55" s="5">
        <v>963</v>
      </c>
      <c r="P55" s="7">
        <v>106</v>
      </c>
      <c r="Q55" s="7">
        <v>28</v>
      </c>
      <c r="R55">
        <v>2116</v>
      </c>
      <c r="S55">
        <v>859</v>
      </c>
    </row>
    <row r="56" spans="1:19">
      <c r="A56" t="s">
        <v>278</v>
      </c>
      <c r="B56" s="1">
        <v>42275</v>
      </c>
      <c r="C56" s="2">
        <v>0.29166666666666669</v>
      </c>
      <c r="D56" s="1">
        <v>42275</v>
      </c>
      <c r="E56" s="2">
        <v>0.70833333333333337</v>
      </c>
      <c r="F56" t="s">
        <v>242</v>
      </c>
      <c r="G56" t="s">
        <v>395</v>
      </c>
      <c r="H56" s="7" t="str">
        <f t="shared" si="0"/>
        <v>Yes</v>
      </c>
      <c r="J56" t="s">
        <v>33</v>
      </c>
      <c r="K56" t="s">
        <v>218</v>
      </c>
      <c r="L56" t="s">
        <v>279</v>
      </c>
      <c r="M56" s="1">
        <v>370358</v>
      </c>
      <c r="N56" t="s">
        <v>280</v>
      </c>
      <c r="O56" s="5">
        <v>885</v>
      </c>
      <c r="P56" s="7">
        <v>106</v>
      </c>
      <c r="Q56" s="7">
        <v>26</v>
      </c>
      <c r="R56">
        <v>1799</v>
      </c>
    </row>
    <row r="57" spans="1:19">
      <c r="A57" t="s">
        <v>476</v>
      </c>
      <c r="B57" s="1">
        <v>42276</v>
      </c>
      <c r="C57" s="2">
        <v>0.33333333333333331</v>
      </c>
      <c r="D57" s="1">
        <v>42276</v>
      </c>
      <c r="E57" s="2">
        <v>0.70833333333333337</v>
      </c>
      <c r="F57" t="s">
        <v>235</v>
      </c>
      <c r="G57" t="s">
        <v>400</v>
      </c>
      <c r="H57" s="7" t="str">
        <f t="shared" si="0"/>
        <v>Yes</v>
      </c>
      <c r="J57" t="s">
        <v>33</v>
      </c>
      <c r="K57" t="s">
        <v>223</v>
      </c>
      <c r="L57" t="s">
        <v>477</v>
      </c>
      <c r="M57" s="1">
        <v>41709</v>
      </c>
      <c r="N57" t="s">
        <v>478</v>
      </c>
      <c r="O57" s="5">
        <v>952</v>
      </c>
      <c r="P57" s="7">
        <v>116</v>
      </c>
      <c r="Q57" s="7">
        <v>27</v>
      </c>
      <c r="R57">
        <v>3031</v>
      </c>
      <c r="S57">
        <v>1160</v>
      </c>
    </row>
    <row r="58" spans="1:19">
      <c r="A58" t="s">
        <v>368</v>
      </c>
      <c r="B58" s="1">
        <v>42276</v>
      </c>
      <c r="C58" s="2">
        <v>0.33333333333333331</v>
      </c>
      <c r="D58" s="1">
        <v>42276</v>
      </c>
      <c r="E58" s="2">
        <v>0.79166666666666663</v>
      </c>
      <c r="F58" t="s">
        <v>235</v>
      </c>
      <c r="G58" t="s">
        <v>400</v>
      </c>
      <c r="H58" s="7" t="str">
        <f t="shared" si="0"/>
        <v>Yes</v>
      </c>
      <c r="J58" t="s">
        <v>217</v>
      </c>
      <c r="K58" t="s">
        <v>218</v>
      </c>
      <c r="L58" t="s">
        <v>266</v>
      </c>
      <c r="M58" s="1">
        <v>41584</v>
      </c>
      <c r="N58" t="s">
        <v>267</v>
      </c>
      <c r="O58" s="5">
        <v>560</v>
      </c>
      <c r="P58" s="7">
        <v>81</v>
      </c>
      <c r="Q58" s="7">
        <v>21</v>
      </c>
      <c r="R58">
        <v>486</v>
      </c>
      <c r="S58">
        <v>324</v>
      </c>
    </row>
    <row r="59" spans="1:19">
      <c r="A59" t="s">
        <v>263</v>
      </c>
      <c r="B59" s="1">
        <v>42277</v>
      </c>
      <c r="C59" s="2">
        <v>0.5</v>
      </c>
      <c r="D59" s="1">
        <v>42277</v>
      </c>
      <c r="E59" s="2">
        <v>0.83333333333333337</v>
      </c>
      <c r="F59" t="s">
        <v>236</v>
      </c>
      <c r="G59" t="s">
        <v>408</v>
      </c>
      <c r="H59" s="7" t="str">
        <f t="shared" si="0"/>
        <v>Yes</v>
      </c>
      <c r="J59" t="s">
        <v>33</v>
      </c>
      <c r="K59" t="s">
        <v>223</v>
      </c>
      <c r="L59" t="s">
        <v>224</v>
      </c>
      <c r="M59" s="1">
        <v>41618</v>
      </c>
      <c r="N59" t="s">
        <v>264</v>
      </c>
      <c r="O59" s="5">
        <v>964</v>
      </c>
      <c r="P59" s="7">
        <v>106</v>
      </c>
      <c r="Q59" s="7">
        <v>58</v>
      </c>
      <c r="R59">
        <v>2295</v>
      </c>
      <c r="S59">
        <v>1101</v>
      </c>
    </row>
    <row r="60" spans="1:19">
      <c r="A60" t="s">
        <v>482</v>
      </c>
      <c r="B60" s="1">
        <v>42277</v>
      </c>
      <c r="C60" s="2">
        <v>0.375</v>
      </c>
      <c r="D60" s="1">
        <v>42278</v>
      </c>
      <c r="E60" s="2">
        <v>0.91666666666666663</v>
      </c>
      <c r="F60" t="s">
        <v>236</v>
      </c>
      <c r="G60" t="s">
        <v>410</v>
      </c>
      <c r="H60" s="7" t="str">
        <f t="shared" si="0"/>
        <v>Yes</v>
      </c>
      <c r="J60" t="s">
        <v>231</v>
      </c>
      <c r="K60" t="s">
        <v>218</v>
      </c>
      <c r="L60" t="s">
        <v>483</v>
      </c>
      <c r="M60" s="1">
        <v>40399</v>
      </c>
      <c r="N60" t="s">
        <v>484</v>
      </c>
      <c r="O60" s="5">
        <v>644</v>
      </c>
      <c r="R60">
        <v>164</v>
      </c>
    </row>
    <row r="61" spans="1:19">
      <c r="A61" t="s">
        <v>390</v>
      </c>
      <c r="B61" s="1">
        <v>42279</v>
      </c>
      <c r="C61" s="2">
        <v>0.54166666666666663</v>
      </c>
      <c r="D61" s="1">
        <v>42279</v>
      </c>
      <c r="E61" s="2">
        <v>0.91666666666666663</v>
      </c>
      <c r="F61" t="s">
        <v>238</v>
      </c>
      <c r="G61" t="s">
        <v>238</v>
      </c>
      <c r="H61" s="7" t="str">
        <f t="shared" si="0"/>
        <v>No</v>
      </c>
      <c r="J61" t="s">
        <v>33</v>
      </c>
      <c r="K61" t="s">
        <v>218</v>
      </c>
      <c r="L61" t="s">
        <v>455</v>
      </c>
      <c r="M61" s="1">
        <v>41418</v>
      </c>
      <c r="N61" t="s">
        <v>456</v>
      </c>
      <c r="O61" s="5">
        <v>610</v>
      </c>
      <c r="P61" s="7">
        <v>82</v>
      </c>
      <c r="Q61" s="7">
        <v>10</v>
      </c>
      <c r="R61">
        <v>363</v>
      </c>
      <c r="S61">
        <v>302</v>
      </c>
    </row>
    <row r="62" spans="1:19">
      <c r="A62" t="s">
        <v>237</v>
      </c>
      <c r="B62" s="1">
        <v>42279</v>
      </c>
      <c r="C62" s="2">
        <v>0.70833333333333337</v>
      </c>
      <c r="D62" s="1">
        <v>42280</v>
      </c>
      <c r="E62" s="2">
        <v>0.5625</v>
      </c>
      <c r="F62" t="s">
        <v>238</v>
      </c>
      <c r="G62" t="s">
        <v>424</v>
      </c>
      <c r="H62" s="7" t="str">
        <f t="shared" ref="H62:H85" si="1">IF(F62=G62,"No","Yes")</f>
        <v>Yes</v>
      </c>
      <c r="J62" t="s">
        <v>479</v>
      </c>
      <c r="K62" t="s">
        <v>228</v>
      </c>
      <c r="L62" t="s">
        <v>228</v>
      </c>
      <c r="M62" s="1">
        <v>41855</v>
      </c>
      <c r="N62" t="s">
        <v>239</v>
      </c>
      <c r="O62" s="5">
        <v>215</v>
      </c>
      <c r="R62">
        <v>0</v>
      </c>
      <c r="S62">
        <v>26</v>
      </c>
    </row>
    <row r="63" spans="1:19">
      <c r="A63" t="s">
        <v>230</v>
      </c>
      <c r="B63" s="1">
        <v>42280</v>
      </c>
      <c r="C63" s="2">
        <v>0.47916666666666669</v>
      </c>
      <c r="D63" s="1">
        <v>42280</v>
      </c>
      <c r="E63" s="2">
        <v>0.79166666666666663</v>
      </c>
      <c r="F63" t="s">
        <v>216</v>
      </c>
      <c r="G63" t="s">
        <v>424</v>
      </c>
      <c r="H63" s="7" t="str">
        <f t="shared" si="1"/>
        <v>Yes</v>
      </c>
      <c r="J63" t="s">
        <v>231</v>
      </c>
      <c r="K63" t="s">
        <v>232</v>
      </c>
      <c r="L63" t="s">
        <v>233</v>
      </c>
      <c r="M63" s="1">
        <v>41344</v>
      </c>
      <c r="N63" t="s">
        <v>234</v>
      </c>
      <c r="O63" s="5">
        <v>918</v>
      </c>
      <c r="P63" s="7">
        <v>106</v>
      </c>
      <c r="Q63" s="7">
        <v>26</v>
      </c>
      <c r="R63">
        <v>1921</v>
      </c>
      <c r="S63">
        <v>790</v>
      </c>
    </row>
    <row r="64" spans="1:19">
      <c r="A64" t="s">
        <v>481</v>
      </c>
      <c r="B64" s="1">
        <v>42282</v>
      </c>
      <c r="C64" s="2">
        <v>0.29166666666666669</v>
      </c>
      <c r="D64" s="1">
        <v>42282</v>
      </c>
      <c r="E64" s="2">
        <v>0.75</v>
      </c>
      <c r="F64" t="s">
        <v>242</v>
      </c>
      <c r="G64" t="s">
        <v>395</v>
      </c>
      <c r="H64" s="7" t="str">
        <f t="shared" si="1"/>
        <v>Yes</v>
      </c>
      <c r="J64" t="s">
        <v>33</v>
      </c>
      <c r="K64" t="s">
        <v>232</v>
      </c>
      <c r="L64" t="s">
        <v>233</v>
      </c>
      <c r="M64" s="1">
        <v>41381</v>
      </c>
      <c r="N64" t="s">
        <v>277</v>
      </c>
      <c r="O64" s="5">
        <v>963</v>
      </c>
      <c r="P64" s="7">
        <v>106</v>
      </c>
      <c r="Q64" s="7">
        <v>28</v>
      </c>
      <c r="R64">
        <v>2125</v>
      </c>
      <c r="S64">
        <v>859</v>
      </c>
    </row>
    <row r="65" spans="1:19">
      <c r="A65" t="s">
        <v>480</v>
      </c>
      <c r="B65" s="1">
        <v>42282</v>
      </c>
      <c r="C65" s="2">
        <v>0.29166666666666669</v>
      </c>
      <c r="D65" s="1">
        <v>42282</v>
      </c>
      <c r="E65" s="2">
        <v>0.79166666666666663</v>
      </c>
      <c r="F65" t="s">
        <v>242</v>
      </c>
      <c r="G65" t="s">
        <v>242</v>
      </c>
      <c r="H65" s="7" t="str">
        <f t="shared" si="1"/>
        <v>No</v>
      </c>
      <c r="J65" t="s">
        <v>231</v>
      </c>
      <c r="K65" t="s">
        <v>232</v>
      </c>
      <c r="L65" t="s">
        <v>233</v>
      </c>
      <c r="M65" s="1">
        <v>41586</v>
      </c>
      <c r="N65" t="s">
        <v>277</v>
      </c>
      <c r="O65" s="5">
        <v>963</v>
      </c>
      <c r="P65" s="7">
        <v>106</v>
      </c>
      <c r="Q65" s="7">
        <v>28</v>
      </c>
      <c r="R65">
        <v>2083</v>
      </c>
      <c r="S65">
        <v>869</v>
      </c>
    </row>
    <row r="66" spans="1:19">
      <c r="A66" t="s">
        <v>476</v>
      </c>
      <c r="B66" s="1">
        <v>42283</v>
      </c>
      <c r="C66" s="2">
        <v>0.33333333333333331</v>
      </c>
      <c r="D66" s="1">
        <v>42283</v>
      </c>
      <c r="E66" s="2">
        <v>0.70833333333333337</v>
      </c>
      <c r="F66" t="s">
        <v>235</v>
      </c>
      <c r="G66" t="s">
        <v>400</v>
      </c>
      <c r="H66" s="7" t="str">
        <f t="shared" si="1"/>
        <v>Yes</v>
      </c>
      <c r="J66" t="s">
        <v>33</v>
      </c>
      <c r="K66" t="s">
        <v>223</v>
      </c>
      <c r="L66" t="s">
        <v>477</v>
      </c>
      <c r="M66" s="1">
        <v>41709</v>
      </c>
      <c r="N66" t="s">
        <v>478</v>
      </c>
      <c r="O66" s="5">
        <v>952</v>
      </c>
      <c r="P66" s="7">
        <v>116</v>
      </c>
      <c r="Q66" s="7">
        <v>27</v>
      </c>
      <c r="R66">
        <v>2052</v>
      </c>
      <c r="S66">
        <v>1160</v>
      </c>
    </row>
    <row r="67" spans="1:19">
      <c r="A67" t="s">
        <v>450</v>
      </c>
      <c r="B67" s="1">
        <v>42284</v>
      </c>
      <c r="C67" s="2">
        <v>0.41666666666666669</v>
      </c>
      <c r="D67" s="1">
        <v>42284</v>
      </c>
      <c r="E67" s="2">
        <v>0.875</v>
      </c>
      <c r="F67" t="s">
        <v>236</v>
      </c>
      <c r="G67" t="s">
        <v>236</v>
      </c>
      <c r="H67" s="7" t="str">
        <f t="shared" si="1"/>
        <v>No</v>
      </c>
      <c r="J67" t="s">
        <v>33</v>
      </c>
      <c r="K67" t="s">
        <v>218</v>
      </c>
      <c r="L67" t="s">
        <v>266</v>
      </c>
      <c r="M67" s="1">
        <v>41586</v>
      </c>
      <c r="N67" t="s">
        <v>485</v>
      </c>
      <c r="O67" s="5">
        <v>594</v>
      </c>
      <c r="P67" s="7">
        <v>84</v>
      </c>
      <c r="Q67" s="7">
        <v>20</v>
      </c>
      <c r="R67">
        <v>657</v>
      </c>
      <c r="S67">
        <v>400</v>
      </c>
    </row>
    <row r="68" spans="1:19">
      <c r="A68" t="s">
        <v>240</v>
      </c>
      <c r="B68" s="1">
        <v>42284</v>
      </c>
      <c r="C68" s="2">
        <v>0.33333333333333331</v>
      </c>
      <c r="D68" s="1">
        <v>42284</v>
      </c>
      <c r="E68" s="2">
        <v>0.70833333333333337</v>
      </c>
      <c r="F68" t="s">
        <v>236</v>
      </c>
      <c r="G68" t="s">
        <v>408</v>
      </c>
      <c r="H68" s="7" t="str">
        <f t="shared" si="1"/>
        <v>Yes</v>
      </c>
      <c r="J68" t="s">
        <v>231</v>
      </c>
      <c r="K68" t="s">
        <v>232</v>
      </c>
      <c r="L68" t="s">
        <v>233</v>
      </c>
      <c r="M68" s="1">
        <v>41381</v>
      </c>
      <c r="N68" t="s">
        <v>225</v>
      </c>
      <c r="O68" s="5">
        <v>965</v>
      </c>
      <c r="P68" s="7">
        <v>106</v>
      </c>
      <c r="Q68" s="7">
        <v>27</v>
      </c>
      <c r="R68">
        <v>2108</v>
      </c>
      <c r="S68">
        <v>997</v>
      </c>
    </row>
    <row r="69" spans="1:19">
      <c r="A69" t="s">
        <v>390</v>
      </c>
      <c r="B69" s="1">
        <v>42284</v>
      </c>
      <c r="C69" s="2">
        <v>0.33333333333333331</v>
      </c>
      <c r="D69" s="1">
        <v>42284</v>
      </c>
      <c r="E69" s="2">
        <v>0.66666666666666663</v>
      </c>
      <c r="F69" t="s">
        <v>236</v>
      </c>
      <c r="G69" t="s">
        <v>408</v>
      </c>
      <c r="H69" s="7" t="str">
        <f t="shared" si="1"/>
        <v>Yes</v>
      </c>
      <c r="J69" t="s">
        <v>217</v>
      </c>
      <c r="K69" t="s">
        <v>218</v>
      </c>
      <c r="L69" t="s">
        <v>366</v>
      </c>
      <c r="M69" s="1">
        <v>41161</v>
      </c>
      <c r="N69" t="s">
        <v>456</v>
      </c>
      <c r="O69" s="5">
        <v>610</v>
      </c>
      <c r="P69" s="7">
        <v>82</v>
      </c>
      <c r="Q69" s="7">
        <v>10</v>
      </c>
      <c r="R69">
        <v>361</v>
      </c>
      <c r="S69">
        <v>302</v>
      </c>
    </row>
    <row r="70" spans="1:19">
      <c r="A70" t="s">
        <v>263</v>
      </c>
      <c r="B70" s="1">
        <v>42285</v>
      </c>
      <c r="C70" s="2">
        <v>0.375</v>
      </c>
      <c r="D70" s="1">
        <v>42285</v>
      </c>
      <c r="E70" s="2">
        <v>0.70833333333333337</v>
      </c>
      <c r="F70" t="s">
        <v>222</v>
      </c>
      <c r="G70" t="s">
        <v>410</v>
      </c>
      <c r="H70" s="7" t="str">
        <f t="shared" si="1"/>
        <v>Yes</v>
      </c>
      <c r="J70" t="s">
        <v>33</v>
      </c>
      <c r="K70" t="s">
        <v>223</v>
      </c>
      <c r="L70" t="s">
        <v>224</v>
      </c>
      <c r="M70" s="1">
        <v>41618</v>
      </c>
      <c r="N70" t="s">
        <v>264</v>
      </c>
      <c r="O70" s="5">
        <v>964</v>
      </c>
      <c r="P70" s="7">
        <v>106</v>
      </c>
      <c r="Q70" s="7">
        <v>58</v>
      </c>
      <c r="R70">
        <v>2215</v>
      </c>
      <c r="S70">
        <v>1101</v>
      </c>
    </row>
    <row r="71" spans="1:19">
      <c r="A71" t="s">
        <v>480</v>
      </c>
      <c r="B71" s="1">
        <v>42287</v>
      </c>
      <c r="C71" s="2">
        <v>0.29166666666666669</v>
      </c>
      <c r="D71" s="1">
        <v>42287</v>
      </c>
      <c r="E71" s="2">
        <v>0.79166666666666663</v>
      </c>
      <c r="F71" t="s">
        <v>216</v>
      </c>
      <c r="G71" t="s">
        <v>424</v>
      </c>
      <c r="H71" s="7" t="str">
        <f t="shared" si="1"/>
        <v>Yes</v>
      </c>
      <c r="J71" t="s">
        <v>231</v>
      </c>
      <c r="K71" t="s">
        <v>232</v>
      </c>
      <c r="L71" t="s">
        <v>233</v>
      </c>
      <c r="M71" s="1">
        <v>41632</v>
      </c>
      <c r="N71" t="s">
        <v>277</v>
      </c>
      <c r="O71" s="5">
        <v>963</v>
      </c>
      <c r="P71" s="7">
        <v>106</v>
      </c>
      <c r="Q71" s="7">
        <v>28</v>
      </c>
      <c r="R71">
        <v>2052</v>
      </c>
      <c r="S71">
        <v>869</v>
      </c>
    </row>
    <row r="72" spans="1:19">
      <c r="A72" t="s">
        <v>474</v>
      </c>
      <c r="B72" s="1">
        <v>42288</v>
      </c>
      <c r="C72" s="2">
        <v>0.33333333333333331</v>
      </c>
      <c r="D72" s="1">
        <v>42288</v>
      </c>
      <c r="E72" s="2">
        <v>0.70833333333333337</v>
      </c>
      <c r="F72" t="s">
        <v>227</v>
      </c>
      <c r="G72" t="s">
        <v>412</v>
      </c>
      <c r="H72" s="7" t="str">
        <f t="shared" si="1"/>
        <v>Yes</v>
      </c>
      <c r="J72" t="s">
        <v>231</v>
      </c>
      <c r="K72" t="s">
        <v>232</v>
      </c>
      <c r="L72" t="s">
        <v>233</v>
      </c>
      <c r="M72" s="1">
        <v>41752</v>
      </c>
      <c r="N72" t="s">
        <v>475</v>
      </c>
      <c r="O72" s="5">
        <v>111</v>
      </c>
      <c r="P72" s="7">
        <v>123</v>
      </c>
      <c r="Q72" s="7">
        <v>29</v>
      </c>
      <c r="R72">
        <v>3573</v>
      </c>
      <c r="S72">
        <v>1360</v>
      </c>
    </row>
    <row r="73" spans="1:19">
      <c r="A73" t="s">
        <v>481</v>
      </c>
      <c r="B73" s="1">
        <v>42289</v>
      </c>
      <c r="C73" s="2">
        <v>0.29166666666666669</v>
      </c>
      <c r="D73" s="1">
        <v>42289</v>
      </c>
      <c r="E73" s="2">
        <v>0.75</v>
      </c>
      <c r="F73" t="s">
        <v>242</v>
      </c>
      <c r="G73" t="s">
        <v>395</v>
      </c>
      <c r="H73" s="7" t="str">
        <f t="shared" si="1"/>
        <v>Yes</v>
      </c>
      <c r="J73" t="s">
        <v>231</v>
      </c>
      <c r="K73" t="s">
        <v>232</v>
      </c>
      <c r="L73" t="s">
        <v>233</v>
      </c>
      <c r="M73" s="1">
        <v>41407</v>
      </c>
      <c r="N73" t="s">
        <v>277</v>
      </c>
      <c r="O73" s="5">
        <v>963</v>
      </c>
      <c r="P73" s="7">
        <v>106</v>
      </c>
      <c r="Q73" s="7">
        <v>28</v>
      </c>
      <c r="R73">
        <v>2178</v>
      </c>
      <c r="S73">
        <v>859</v>
      </c>
    </row>
    <row r="74" spans="1:19">
      <c r="A74" t="s">
        <v>486</v>
      </c>
      <c r="B74" s="1">
        <v>42290</v>
      </c>
      <c r="C74" s="2">
        <v>0.45833333333333331</v>
      </c>
      <c r="D74" s="1">
        <v>42290</v>
      </c>
      <c r="E74" s="2">
        <v>0.95833333333333337</v>
      </c>
      <c r="F74" t="s">
        <v>235</v>
      </c>
      <c r="G74" t="s">
        <v>235</v>
      </c>
      <c r="H74" s="7" t="str">
        <f t="shared" si="1"/>
        <v>No</v>
      </c>
      <c r="J74" t="s">
        <v>33</v>
      </c>
      <c r="K74" t="s">
        <v>487</v>
      </c>
      <c r="L74" t="s">
        <v>258</v>
      </c>
      <c r="M74" s="1">
        <v>41877</v>
      </c>
      <c r="N74" t="s">
        <v>488</v>
      </c>
      <c r="O74" s="5">
        <v>936</v>
      </c>
      <c r="P74" s="7">
        <v>106</v>
      </c>
      <c r="Q74" s="7">
        <v>26</v>
      </c>
      <c r="R74">
        <v>1887</v>
      </c>
      <c r="S74">
        <v>929</v>
      </c>
    </row>
    <row r="75" spans="1:19">
      <c r="A75" t="s">
        <v>251</v>
      </c>
      <c r="B75" s="1">
        <v>42291</v>
      </c>
      <c r="C75" s="2">
        <v>0.29166666666666669</v>
      </c>
      <c r="D75" s="1">
        <v>42291</v>
      </c>
      <c r="E75" s="2">
        <v>0.70833333333333337</v>
      </c>
      <c r="F75" t="s">
        <v>236</v>
      </c>
      <c r="G75" t="s">
        <v>408</v>
      </c>
      <c r="H75" s="7" t="str">
        <f t="shared" si="1"/>
        <v>Yes</v>
      </c>
      <c r="J75" t="s">
        <v>231</v>
      </c>
      <c r="K75" t="s">
        <v>218</v>
      </c>
      <c r="L75" t="s">
        <v>252</v>
      </c>
      <c r="M75" s="1">
        <v>41702</v>
      </c>
      <c r="N75" t="s">
        <v>253</v>
      </c>
      <c r="O75" s="5">
        <v>950</v>
      </c>
      <c r="R75">
        <v>3080</v>
      </c>
      <c r="S75">
        <v>1142</v>
      </c>
    </row>
    <row r="76" spans="1:19">
      <c r="A76" t="s">
        <v>368</v>
      </c>
      <c r="B76" s="1">
        <v>42292</v>
      </c>
      <c r="C76" s="2">
        <v>0.33333333333333331</v>
      </c>
      <c r="D76" s="1">
        <v>42292</v>
      </c>
      <c r="E76" s="2">
        <v>0.83333333333333337</v>
      </c>
      <c r="F76" t="s">
        <v>222</v>
      </c>
      <c r="G76" t="s">
        <v>410</v>
      </c>
      <c r="H76" s="7" t="str">
        <f t="shared" si="1"/>
        <v>Yes</v>
      </c>
      <c r="J76" t="s">
        <v>33</v>
      </c>
      <c r="K76" t="s">
        <v>218</v>
      </c>
      <c r="L76" t="s">
        <v>266</v>
      </c>
      <c r="M76" s="1">
        <v>41584</v>
      </c>
      <c r="N76" t="s">
        <v>267</v>
      </c>
      <c r="O76" s="5">
        <v>560</v>
      </c>
      <c r="P76" s="7">
        <v>81</v>
      </c>
      <c r="Q76" s="7">
        <v>21</v>
      </c>
      <c r="R76">
        <v>497</v>
      </c>
      <c r="S76">
        <v>324</v>
      </c>
    </row>
    <row r="77" spans="1:19">
      <c r="A77" t="s">
        <v>230</v>
      </c>
      <c r="B77" s="1">
        <v>42294</v>
      </c>
      <c r="C77" s="2">
        <v>0.47916666666666669</v>
      </c>
      <c r="D77" s="1">
        <v>42294</v>
      </c>
      <c r="E77" s="2">
        <v>0.79166666666666663</v>
      </c>
      <c r="F77" t="s">
        <v>216</v>
      </c>
      <c r="G77" t="s">
        <v>424</v>
      </c>
      <c r="H77" s="7" t="str">
        <f t="shared" si="1"/>
        <v>Yes</v>
      </c>
      <c r="J77" t="s">
        <v>231</v>
      </c>
      <c r="K77" t="s">
        <v>232</v>
      </c>
      <c r="L77" t="s">
        <v>233</v>
      </c>
      <c r="M77" s="1">
        <v>41344</v>
      </c>
      <c r="N77" t="s">
        <v>234</v>
      </c>
      <c r="O77" s="5">
        <v>918</v>
      </c>
      <c r="P77" s="7">
        <v>106</v>
      </c>
      <c r="Q77" s="7">
        <v>26</v>
      </c>
      <c r="R77">
        <v>1917</v>
      </c>
      <c r="S77">
        <v>790</v>
      </c>
    </row>
    <row r="78" spans="1:19">
      <c r="A78" t="s">
        <v>481</v>
      </c>
      <c r="B78" s="1">
        <v>42296</v>
      </c>
      <c r="C78" s="2">
        <v>0.29166666666666669</v>
      </c>
      <c r="D78" s="1">
        <v>42296</v>
      </c>
      <c r="E78" s="2">
        <v>0.75</v>
      </c>
      <c r="F78" t="s">
        <v>242</v>
      </c>
      <c r="G78" t="s">
        <v>395</v>
      </c>
      <c r="H78" s="7" t="str">
        <f t="shared" si="1"/>
        <v>Yes</v>
      </c>
      <c r="J78" t="s">
        <v>231</v>
      </c>
      <c r="K78" t="s">
        <v>232</v>
      </c>
      <c r="L78" t="s">
        <v>233</v>
      </c>
      <c r="M78" s="1">
        <v>41381</v>
      </c>
      <c r="N78" t="s">
        <v>489</v>
      </c>
      <c r="O78" s="5">
        <v>963</v>
      </c>
      <c r="P78" s="7">
        <v>106</v>
      </c>
      <c r="Q78" s="7">
        <v>28</v>
      </c>
      <c r="R78">
        <v>2178</v>
      </c>
      <c r="S78">
        <v>859</v>
      </c>
    </row>
    <row r="79" spans="1:19">
      <c r="A79" t="s">
        <v>345</v>
      </c>
      <c r="B79" s="1">
        <v>42298</v>
      </c>
      <c r="C79" s="2">
        <v>0.41666666666666669</v>
      </c>
      <c r="D79" s="1">
        <v>42298</v>
      </c>
      <c r="E79" s="2">
        <v>0.83333333333333337</v>
      </c>
      <c r="F79" t="s">
        <v>236</v>
      </c>
      <c r="G79" t="s">
        <v>408</v>
      </c>
      <c r="H79" s="7" t="str">
        <f t="shared" si="1"/>
        <v>Yes</v>
      </c>
      <c r="J79" t="s">
        <v>33</v>
      </c>
      <c r="K79" t="s">
        <v>218</v>
      </c>
      <c r="L79" t="s">
        <v>346</v>
      </c>
      <c r="M79" s="1">
        <v>41375</v>
      </c>
      <c r="N79" t="s">
        <v>347</v>
      </c>
      <c r="O79" s="5">
        <v>781</v>
      </c>
      <c r="P79" s="7">
        <v>98</v>
      </c>
      <c r="Q79" s="7">
        <v>25</v>
      </c>
      <c r="R79">
        <v>795</v>
      </c>
      <c r="S79">
        <v>545</v>
      </c>
    </row>
    <row r="80" spans="1:19">
      <c r="A80" t="s">
        <v>368</v>
      </c>
      <c r="B80" s="1">
        <v>42298</v>
      </c>
      <c r="C80" s="2">
        <v>0.33333333333333331</v>
      </c>
      <c r="D80" s="1">
        <v>42298</v>
      </c>
      <c r="E80" s="2">
        <v>0.83333333333333337</v>
      </c>
      <c r="F80" t="s">
        <v>236</v>
      </c>
      <c r="G80" t="s">
        <v>408</v>
      </c>
      <c r="H80" s="7" t="str">
        <f t="shared" si="1"/>
        <v>Yes</v>
      </c>
      <c r="J80" t="s">
        <v>231</v>
      </c>
      <c r="K80" t="s">
        <v>218</v>
      </c>
      <c r="L80" t="s">
        <v>266</v>
      </c>
      <c r="M80" s="1">
        <v>41584</v>
      </c>
      <c r="N80" t="s">
        <v>267</v>
      </c>
      <c r="O80" s="5">
        <v>560</v>
      </c>
      <c r="P80" s="7">
        <v>81</v>
      </c>
      <c r="Q80" s="7">
        <v>21</v>
      </c>
      <c r="R80">
        <v>468</v>
      </c>
      <c r="S80">
        <v>324</v>
      </c>
    </row>
    <row r="81" spans="1:19">
      <c r="A81" t="s">
        <v>390</v>
      </c>
      <c r="B81" s="1">
        <v>42300</v>
      </c>
      <c r="C81" s="2">
        <v>0.375</v>
      </c>
      <c r="D81" s="1">
        <v>42300</v>
      </c>
      <c r="E81" s="2">
        <v>0.91666666666666663</v>
      </c>
      <c r="F81" t="s">
        <v>238</v>
      </c>
      <c r="G81" t="s">
        <v>422</v>
      </c>
      <c r="H81" s="7" t="str">
        <f t="shared" si="1"/>
        <v>Yes</v>
      </c>
      <c r="J81" t="s">
        <v>33</v>
      </c>
      <c r="K81" t="s">
        <v>218</v>
      </c>
      <c r="L81" t="s">
        <v>289</v>
      </c>
      <c r="M81" t="s">
        <v>490</v>
      </c>
      <c r="N81" t="s">
        <v>491</v>
      </c>
      <c r="O81" s="5">
        <v>610</v>
      </c>
      <c r="P81" s="7">
        <v>82</v>
      </c>
      <c r="Q81" s="7">
        <v>19</v>
      </c>
      <c r="R81">
        <v>347</v>
      </c>
      <c r="S81">
        <v>295</v>
      </c>
    </row>
    <row r="82" spans="1:19">
      <c r="A82" t="s">
        <v>215</v>
      </c>
      <c r="B82" s="1">
        <v>42300</v>
      </c>
      <c r="C82" s="2">
        <v>0</v>
      </c>
      <c r="D82" s="1">
        <v>42300</v>
      </c>
      <c r="E82" s="2">
        <v>0.72916666666666663</v>
      </c>
      <c r="F82" t="s">
        <v>238</v>
      </c>
      <c r="G82" t="s">
        <v>238</v>
      </c>
      <c r="H82" s="7" t="str">
        <f t="shared" si="1"/>
        <v>No</v>
      </c>
      <c r="I82" t="s">
        <v>208</v>
      </c>
      <c r="J82" t="s">
        <v>217</v>
      </c>
      <c r="K82" t="s">
        <v>218</v>
      </c>
      <c r="L82" t="s">
        <v>219</v>
      </c>
      <c r="M82" s="1">
        <v>41683</v>
      </c>
      <c r="N82" t="s">
        <v>443</v>
      </c>
      <c r="O82" s="5">
        <v>325</v>
      </c>
      <c r="R82">
        <v>127</v>
      </c>
      <c r="S82">
        <v>65</v>
      </c>
    </row>
    <row r="83" spans="1:19">
      <c r="A83" t="s">
        <v>480</v>
      </c>
      <c r="B83" s="1">
        <v>42304</v>
      </c>
      <c r="C83" s="2">
        <v>0.29166666666666669</v>
      </c>
      <c r="D83" s="1">
        <v>42304</v>
      </c>
      <c r="E83" s="2">
        <v>0.75</v>
      </c>
      <c r="F83" t="s">
        <v>235</v>
      </c>
      <c r="G83" t="s">
        <v>235</v>
      </c>
      <c r="H83" s="7" t="str">
        <f t="shared" si="1"/>
        <v>No</v>
      </c>
      <c r="I83" s="7"/>
      <c r="J83" t="s">
        <v>231</v>
      </c>
      <c r="K83" t="s">
        <v>232</v>
      </c>
      <c r="L83" t="s">
        <v>233</v>
      </c>
      <c r="M83" s="1">
        <v>41586</v>
      </c>
      <c r="N83" t="s">
        <v>277</v>
      </c>
      <c r="O83" s="5">
        <v>963</v>
      </c>
      <c r="P83" s="7">
        <v>106</v>
      </c>
      <c r="Q83" s="7">
        <v>28</v>
      </c>
      <c r="R83">
        <v>2056</v>
      </c>
      <c r="S83">
        <v>869</v>
      </c>
    </row>
    <row r="84" spans="1:19">
      <c r="A84" t="s">
        <v>466</v>
      </c>
      <c r="B84" s="1">
        <v>42307</v>
      </c>
      <c r="C84" s="2">
        <v>0.25</v>
      </c>
      <c r="D84" s="1">
        <v>42307</v>
      </c>
      <c r="E84" s="2">
        <v>0.77083333333333337</v>
      </c>
      <c r="F84" t="s">
        <v>238</v>
      </c>
      <c r="G84" t="s">
        <v>238</v>
      </c>
      <c r="H84" s="7" t="str">
        <f t="shared" si="1"/>
        <v>No</v>
      </c>
      <c r="I84" t="s">
        <v>208</v>
      </c>
      <c r="J84" t="s">
        <v>33</v>
      </c>
      <c r="K84" t="s">
        <v>218</v>
      </c>
      <c r="L84" t="s">
        <v>467</v>
      </c>
      <c r="M84" s="1">
        <v>41852</v>
      </c>
      <c r="N84" t="s">
        <v>460</v>
      </c>
      <c r="O84" s="5">
        <v>286</v>
      </c>
      <c r="R84">
        <v>9</v>
      </c>
    </row>
    <row r="85" spans="1:19">
      <c r="A85" t="s">
        <v>368</v>
      </c>
      <c r="B85" s="1">
        <v>42312</v>
      </c>
      <c r="C85" s="2">
        <v>0.33333333333333331</v>
      </c>
      <c r="D85" s="1">
        <v>42312</v>
      </c>
      <c r="E85" s="2">
        <v>0.75</v>
      </c>
      <c r="F85" t="s">
        <v>236</v>
      </c>
      <c r="G85" t="s">
        <v>408</v>
      </c>
      <c r="H85" s="7" t="str">
        <f t="shared" si="1"/>
        <v>Yes</v>
      </c>
      <c r="I85" s="7"/>
      <c r="J85" t="s">
        <v>231</v>
      </c>
      <c r="K85" t="s">
        <v>218</v>
      </c>
      <c r="L85" t="s">
        <v>266</v>
      </c>
      <c r="M85" s="1">
        <v>41584</v>
      </c>
      <c r="N85" t="s">
        <v>267</v>
      </c>
      <c r="O85" s="5">
        <v>560</v>
      </c>
      <c r="P85">
        <v>81</v>
      </c>
      <c r="Q85" s="7">
        <v>21</v>
      </c>
      <c r="R85">
        <v>470</v>
      </c>
      <c r="S85">
        <v>324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 Planned</vt:lpstr>
      <vt:lpstr>2019</vt:lpstr>
      <vt:lpstr>2018</vt:lpstr>
      <vt:lpstr>2017</vt:lpstr>
      <vt:lpstr>2016</vt:lpstr>
      <vt:lpstr>2015</vt:lpstr>
    </vt:vector>
  </TitlesOfParts>
  <Company>University of Maine System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C Bohlen</dc:creator>
  <cp:lastModifiedBy>Curtis Bohlen</cp:lastModifiedBy>
  <dcterms:created xsi:type="dcterms:W3CDTF">2020-07-15T21:02:31Z</dcterms:created>
  <dcterms:modified xsi:type="dcterms:W3CDTF">2020-07-16T12:22:16Z</dcterms:modified>
</cp:coreProperties>
</file>